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Training\Traning\6 sigma\SPC module\"/>
    </mc:Choice>
  </mc:AlternateContent>
  <xr:revisionPtr revIDLastSave="0" documentId="8_{CB0D05EB-7B73-41AF-AAD3-818CF8BECAD8}" xr6:coauthVersionLast="47" xr6:coauthVersionMax="47" xr10:uidLastSave="{00000000-0000-0000-0000-000000000000}"/>
  <bookViews>
    <workbookView xWindow="240" yWindow="180" windowWidth="9780" windowHeight="2520" tabRatio="772" xr2:uid="{00000000-000D-0000-FFFF-FFFF00000000}"/>
  </bookViews>
  <sheets>
    <sheet name="Type 1 both side" sheetId="1" r:id="rId1"/>
    <sheet name="Type 1 one side" sheetId="2" r:id="rId2"/>
    <sheet name="Type2 연속형" sheetId="4" r:id="rId3"/>
    <sheet name="Type2 파괴형" sheetId="5" r:id="rId4"/>
    <sheet name="Type3" sheetId="6" r:id="rId5"/>
    <sheet name="Type4" sheetId="7" r:id="rId6"/>
    <sheet name="Type5" sheetId="8" r:id="rId7"/>
    <sheet name="계수형1" sheetId="9" r:id="rId8"/>
    <sheet name="계수형2" sheetId="10" r:id="rId9"/>
    <sheet name="Capa. analysis" sheetId="13" r:id="rId10"/>
    <sheet name="Control" sheetId="14" r:id="rId11"/>
    <sheet name="Control index" sheetId="15" r:id="rId12"/>
    <sheet name="Xbar-R 1" sheetId="16" r:id="rId13"/>
    <sheet name="Xbar-R 2" sheetId="17" r:id="rId14"/>
    <sheet name="I-MR" sheetId="18" r:id="rId15"/>
    <sheet name="P" sheetId="19" r:id="rId16"/>
    <sheet name="Sheet1" sheetId="20" r:id="rId17"/>
    <sheet name="Sheet2" sheetId="21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3" l="1"/>
  <c r="C13" i="13"/>
  <c r="C12" i="13"/>
  <c r="C11" i="13"/>
  <c r="C10" i="13"/>
  <c r="C15" i="13" l="1"/>
  <c r="I4" i="14"/>
  <c r="J4" i="14"/>
  <c r="K4" i="14" s="1"/>
  <c r="I5" i="14"/>
  <c r="J5" i="14"/>
  <c r="I6" i="14"/>
  <c r="J6" i="14"/>
  <c r="I7" i="14"/>
  <c r="J7" i="14"/>
  <c r="I8" i="14"/>
  <c r="J8" i="14"/>
  <c r="I9" i="14"/>
  <c r="J9" i="14"/>
  <c r="I10" i="14"/>
  <c r="J10" i="14"/>
  <c r="I11" i="14"/>
  <c r="J11" i="14"/>
  <c r="K11" i="14" s="1"/>
  <c r="I12" i="14"/>
  <c r="J12" i="14"/>
  <c r="I13" i="14"/>
  <c r="J13" i="14"/>
  <c r="I14" i="14"/>
  <c r="J14" i="14"/>
  <c r="K14" i="14"/>
  <c r="I15" i="14"/>
  <c r="J15" i="14"/>
  <c r="I16" i="14"/>
  <c r="J16" i="14"/>
  <c r="I17" i="14"/>
  <c r="J17" i="14"/>
  <c r="I18" i="14"/>
  <c r="J18" i="14"/>
  <c r="I19" i="14"/>
  <c r="J19" i="14"/>
  <c r="K19" i="14" s="1"/>
  <c r="I20" i="14"/>
  <c r="J20" i="14"/>
  <c r="I21" i="14"/>
  <c r="J21" i="14"/>
  <c r="I22" i="14"/>
  <c r="J22" i="14"/>
  <c r="K22" i="14"/>
  <c r="I23" i="14"/>
  <c r="J23" i="14"/>
  <c r="I24" i="14"/>
  <c r="J24" i="14"/>
  <c r="I25" i="14"/>
  <c r="J25" i="14"/>
  <c r="I26" i="14"/>
  <c r="J26" i="14"/>
  <c r="I27" i="14"/>
  <c r="J27" i="14"/>
  <c r="K27" i="14" s="1"/>
  <c r="I28" i="14"/>
  <c r="J28" i="14"/>
  <c r="I29" i="14"/>
  <c r="J29" i="14"/>
  <c r="I30" i="14"/>
  <c r="J30" i="14"/>
  <c r="K30" i="14"/>
  <c r="I31" i="14"/>
  <c r="J31" i="14"/>
  <c r="I32" i="14"/>
  <c r="J32" i="14"/>
  <c r="J3" i="14"/>
  <c r="I3" i="14"/>
  <c r="K3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" i="14"/>
  <c r="H33" i="14" s="1"/>
  <c r="K32" i="14" l="1"/>
  <c r="K31" i="14"/>
  <c r="K29" i="14"/>
  <c r="K28" i="14"/>
  <c r="K26" i="14"/>
  <c r="K25" i="14"/>
  <c r="K24" i="14"/>
  <c r="K23" i="14"/>
  <c r="K21" i="14"/>
  <c r="K20" i="14"/>
  <c r="K18" i="14"/>
  <c r="K17" i="14"/>
  <c r="K16" i="14"/>
  <c r="K15" i="14"/>
  <c r="K13" i="14"/>
  <c r="K12" i="14"/>
  <c r="K10" i="14"/>
  <c r="K9" i="14"/>
  <c r="K8" i="14"/>
  <c r="K7" i="14"/>
  <c r="K6" i="14"/>
  <c r="K5" i="14"/>
  <c r="K33" i="14"/>
  <c r="L4" i="14" s="1"/>
  <c r="L8" i="14"/>
  <c r="M9" i="14"/>
  <c r="L12" i="14"/>
  <c r="L16" i="14"/>
  <c r="M17" i="14"/>
  <c r="L20" i="14"/>
  <c r="L24" i="14"/>
  <c r="M25" i="14"/>
  <c r="L28" i="14"/>
  <c r="L32" i="14"/>
  <c r="M3" i="14"/>
  <c r="L23" i="14"/>
  <c r="M28" i="14"/>
  <c r="L31" i="14"/>
  <c r="M32" i="14"/>
  <c r="M4" i="14"/>
  <c r="L7" i="14"/>
  <c r="M8" i="14"/>
  <c r="M12" i="14"/>
  <c r="L15" i="14"/>
  <c r="M16" i="14"/>
  <c r="M20" i="14"/>
  <c r="M24" i="14"/>
  <c r="L3" i="14"/>
  <c r="L25" i="14"/>
  <c r="L29" i="14"/>
  <c r="L6" i="14"/>
  <c r="M7" i="14"/>
  <c r="L10" i="14"/>
  <c r="M11" i="14"/>
  <c r="L14" i="14"/>
  <c r="M15" i="14"/>
  <c r="L18" i="14"/>
  <c r="M19" i="14"/>
  <c r="L22" i="14"/>
  <c r="M23" i="14"/>
  <c r="L26" i="14"/>
  <c r="M27" i="14"/>
  <c r="L30" i="14"/>
  <c r="M31" i="14"/>
  <c r="L5" i="14"/>
  <c r="M6" i="14"/>
  <c r="L9" i="14"/>
  <c r="M10" i="14"/>
  <c r="L13" i="14"/>
  <c r="M14" i="14"/>
  <c r="L17" i="14"/>
  <c r="M18" i="14"/>
  <c r="M22" i="14"/>
  <c r="M26" i="14"/>
  <c r="M30" i="14"/>
  <c r="G5" i="8"/>
  <c r="H5" i="8"/>
  <c r="G6" i="8"/>
  <c r="H6" i="8"/>
  <c r="G7" i="8"/>
  <c r="H7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1" i="8"/>
  <c r="H21" i="8"/>
  <c r="G22" i="8"/>
  <c r="H22" i="8"/>
  <c r="G23" i="8"/>
  <c r="H23" i="8"/>
  <c r="H4" i="8"/>
  <c r="G4" i="8"/>
  <c r="Q16" i="7"/>
  <c r="P16" i="7"/>
  <c r="O16" i="7"/>
  <c r="N16" i="7"/>
  <c r="M16" i="7"/>
  <c r="Q15" i="7"/>
  <c r="P15" i="7"/>
  <c r="O15" i="7"/>
  <c r="N15" i="7"/>
  <c r="M15" i="7"/>
  <c r="Q14" i="7"/>
  <c r="P14" i="7"/>
  <c r="O14" i="7"/>
  <c r="N14" i="7"/>
  <c r="M14" i="7"/>
  <c r="Q13" i="7"/>
  <c r="P13" i="7"/>
  <c r="O13" i="7"/>
  <c r="N13" i="7"/>
  <c r="M13" i="7"/>
  <c r="Q12" i="7"/>
  <c r="P12" i="7"/>
  <c r="O12" i="7"/>
  <c r="N12" i="7"/>
  <c r="M12" i="7"/>
  <c r="Q11" i="7"/>
  <c r="P11" i="7"/>
  <c r="O11" i="7"/>
  <c r="N11" i="7"/>
  <c r="M11" i="7"/>
  <c r="Q10" i="7"/>
  <c r="P10" i="7"/>
  <c r="O10" i="7"/>
  <c r="N10" i="7"/>
  <c r="M10" i="7"/>
  <c r="Q9" i="7"/>
  <c r="P9" i="7"/>
  <c r="O9" i="7"/>
  <c r="N9" i="7"/>
  <c r="M9" i="7"/>
  <c r="Q8" i="7"/>
  <c r="P8" i="7"/>
  <c r="O8" i="7"/>
  <c r="N8" i="7"/>
  <c r="M8" i="7"/>
  <c r="Q7" i="7"/>
  <c r="P7" i="7"/>
  <c r="O7" i="7"/>
  <c r="N7" i="7"/>
  <c r="M7" i="7"/>
  <c r="Q6" i="7"/>
  <c r="P6" i="7"/>
  <c r="O6" i="7"/>
  <c r="N6" i="7"/>
  <c r="M6" i="7"/>
  <c r="Q5" i="7"/>
  <c r="P5" i="7"/>
  <c r="O5" i="7"/>
  <c r="N5" i="7"/>
  <c r="N17" i="7" s="1"/>
  <c r="M5" i="7"/>
  <c r="O17" i="7" l="1"/>
  <c r="L19" i="14"/>
  <c r="L11" i="14"/>
  <c r="L21" i="14"/>
  <c r="L27" i="14"/>
  <c r="M29" i="14"/>
  <c r="M21" i="14"/>
  <c r="M13" i="14"/>
  <c r="M5" i="14"/>
  <c r="P17" i="7"/>
  <c r="M17" i="7"/>
  <c r="Q17" i="7"/>
  <c r="N6" i="14"/>
  <c r="N10" i="14"/>
  <c r="N14" i="14"/>
  <c r="N18" i="14"/>
  <c r="N22" i="14"/>
  <c r="N26" i="14"/>
  <c r="N30" i="14"/>
  <c r="N17" i="14"/>
  <c r="N21" i="14"/>
  <c r="N25" i="14"/>
  <c r="N23" i="14"/>
  <c r="N27" i="14"/>
  <c r="N31" i="14"/>
  <c r="N5" i="14"/>
  <c r="N9" i="14"/>
  <c r="N13" i="14"/>
  <c r="N29" i="14"/>
  <c r="N3" i="14"/>
  <c r="N4" i="14"/>
  <c r="N8" i="14"/>
  <c r="N12" i="14"/>
  <c r="N16" i="14"/>
  <c r="N20" i="14"/>
  <c r="N24" i="14"/>
  <c r="N28" i="14"/>
  <c r="N32" i="14"/>
  <c r="N7" i="14"/>
  <c r="N11" i="14"/>
  <c r="N15" i="14"/>
  <c r="N19" i="14"/>
  <c r="G24" i="8"/>
  <c r="H24" i="8"/>
  <c r="N19" i="2"/>
  <c r="L18" i="2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O29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K15" i="2"/>
  <c r="L19" i="2" s="1"/>
  <c r="E12" i="2"/>
  <c r="K14" i="2"/>
  <c r="K16" i="2" s="1"/>
  <c r="E11" i="2"/>
  <c r="K13" i="2"/>
  <c r="E10" i="2"/>
  <c r="E9" i="2"/>
  <c r="E8" i="2"/>
  <c r="E7" i="2"/>
  <c r="E6" i="2"/>
  <c r="E5" i="2"/>
  <c r="E4" i="2"/>
  <c r="G5" i="2" l="1"/>
  <c r="G9" i="2"/>
  <c r="G13" i="2"/>
  <c r="G17" i="2"/>
  <c r="G21" i="2"/>
  <c r="G25" i="2"/>
  <c r="G29" i="2"/>
  <c r="G33" i="2"/>
  <c r="G37" i="2"/>
  <c r="G41" i="2"/>
  <c r="G45" i="2"/>
  <c r="G49" i="2"/>
  <c r="G53" i="2"/>
  <c r="G6" i="2"/>
  <c r="G10" i="2"/>
  <c r="G14" i="2"/>
  <c r="G18" i="2"/>
  <c r="G22" i="2"/>
  <c r="G26" i="2"/>
  <c r="G30" i="2"/>
  <c r="G34" i="2"/>
  <c r="G38" i="2"/>
  <c r="G42" i="2"/>
  <c r="G46" i="2"/>
  <c r="G50" i="2"/>
  <c r="G4" i="2"/>
  <c r="G7" i="2"/>
  <c r="G11" i="2"/>
  <c r="G15" i="2"/>
  <c r="G19" i="2"/>
  <c r="G23" i="2"/>
  <c r="G27" i="2"/>
  <c r="G31" i="2"/>
  <c r="G35" i="2"/>
  <c r="G39" i="2"/>
  <c r="G43" i="2"/>
  <c r="G47" i="2"/>
  <c r="G51" i="2"/>
  <c r="G8" i="2"/>
  <c r="G12" i="2"/>
  <c r="G16" i="2"/>
  <c r="G20" i="2"/>
  <c r="G24" i="2"/>
  <c r="G28" i="2"/>
  <c r="G32" i="2"/>
  <c r="G36" i="2"/>
  <c r="G40" i="2"/>
  <c r="G44" i="2"/>
  <c r="G48" i="2"/>
  <c r="G52" i="2"/>
  <c r="N23" i="2"/>
  <c r="L22" i="2"/>
  <c r="K32" i="2" s="1"/>
  <c r="N28" i="2"/>
  <c r="O27" i="2" s="1"/>
  <c r="L25" i="2" s="1"/>
  <c r="L32" i="2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" i="1"/>
  <c r="O32" i="1"/>
  <c r="J10" i="1"/>
  <c r="J12" i="1"/>
  <c r="J11" i="1"/>
  <c r="J13" i="1" s="1"/>
  <c r="J14" i="1"/>
  <c r="F12" i="1" s="1"/>
  <c r="F54" i="1" l="1"/>
  <c r="F50" i="1"/>
  <c r="F46" i="1"/>
  <c r="F42" i="1"/>
  <c r="F38" i="1"/>
  <c r="F34" i="1"/>
  <c r="F30" i="1"/>
  <c r="F26" i="1"/>
  <c r="F22" i="1"/>
  <c r="F18" i="1"/>
  <c r="F14" i="1"/>
  <c r="F10" i="1"/>
  <c r="F6" i="1"/>
  <c r="G5" i="1"/>
  <c r="G51" i="1"/>
  <c r="G47" i="1"/>
  <c r="G43" i="1"/>
  <c r="G39" i="1"/>
  <c r="G35" i="1"/>
  <c r="G31" i="1"/>
  <c r="G27" i="1"/>
  <c r="G23" i="1"/>
  <c r="G19" i="1"/>
  <c r="G15" i="1"/>
  <c r="G11" i="1"/>
  <c r="G7" i="1"/>
  <c r="N31" i="1"/>
  <c r="O30" i="1" s="1"/>
  <c r="L28" i="1" s="1"/>
  <c r="L35" i="1" s="1"/>
  <c r="G53" i="1"/>
  <c r="G49" i="1"/>
  <c r="G45" i="1"/>
  <c r="G41" i="1"/>
  <c r="G37" i="1"/>
  <c r="G33" i="1"/>
  <c r="G29" i="1"/>
  <c r="G25" i="1"/>
  <c r="G21" i="1"/>
  <c r="G17" i="1"/>
  <c r="G13" i="1"/>
  <c r="G9" i="1"/>
  <c r="G52" i="1"/>
  <c r="G48" i="1"/>
  <c r="G44" i="1"/>
  <c r="G40" i="1"/>
  <c r="G36" i="1"/>
  <c r="G32" i="1"/>
  <c r="G28" i="1"/>
  <c r="G24" i="1"/>
  <c r="G20" i="1"/>
  <c r="G16" i="1"/>
  <c r="G12" i="1"/>
  <c r="G8" i="1"/>
  <c r="N26" i="1"/>
  <c r="L25" i="1" s="1"/>
  <c r="K35" i="1" s="1"/>
  <c r="F52" i="1"/>
  <c r="F44" i="1"/>
  <c r="F36" i="1"/>
  <c r="F32" i="1"/>
  <c r="F24" i="1"/>
  <c r="F20" i="1"/>
  <c r="F16" i="1"/>
  <c r="F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F5" i="1"/>
  <c r="F51" i="1"/>
  <c r="F47" i="1"/>
  <c r="F43" i="1"/>
  <c r="F39" i="1"/>
  <c r="F35" i="1"/>
  <c r="F31" i="1"/>
  <c r="F27" i="1"/>
  <c r="F23" i="1"/>
  <c r="F19" i="1"/>
  <c r="F15" i="1"/>
  <c r="F11" i="1"/>
  <c r="F7" i="1"/>
  <c r="F53" i="1"/>
  <c r="F49" i="1"/>
  <c r="F45" i="1"/>
  <c r="F41" i="1"/>
  <c r="F37" i="1"/>
  <c r="F33" i="1"/>
  <c r="F29" i="1"/>
  <c r="F25" i="1"/>
  <c r="F21" i="1"/>
  <c r="F17" i="1"/>
  <c r="F13" i="1"/>
  <c r="F9" i="1"/>
  <c r="N18" i="1"/>
  <c r="L17" i="1" s="1"/>
  <c r="F48" i="1"/>
  <c r="F40" i="1"/>
  <c r="F28" i="1"/>
  <c r="N21" i="1"/>
  <c r="L20" i="1" s="1"/>
  <c r="N22" i="1"/>
</calcChain>
</file>

<file path=xl/sharedStrings.xml><?xml version="1.0" encoding="utf-8"?>
<sst xmlns="http://schemas.openxmlformats.org/spreadsheetml/2006/main" count="796" uniqueCount="191">
  <si>
    <t>Type 1 Gage R&amp;R  (양측)</t>
    <phoneticPr fontId="2" type="noConversion"/>
  </si>
  <si>
    <t xml:space="preserve">관리도 기준값 </t>
    <phoneticPr fontId="2" type="noConversion"/>
  </si>
  <si>
    <t>입력자료</t>
    <phoneticPr fontId="2" type="noConversion"/>
  </si>
  <si>
    <t>No</t>
    <phoneticPr fontId="2" type="noConversion"/>
  </si>
  <si>
    <t>Data</t>
    <phoneticPr fontId="2" type="noConversion"/>
  </si>
  <si>
    <t>기준값</t>
    <phoneticPr fontId="2" type="noConversion"/>
  </si>
  <si>
    <t>UCL</t>
    <phoneticPr fontId="2" type="noConversion"/>
  </si>
  <si>
    <t>LCL</t>
    <phoneticPr fontId="2" type="noConversion"/>
  </si>
  <si>
    <t>RE</t>
  </si>
  <si>
    <t>SPEC</t>
    <phoneticPr fontId="2" type="noConversion"/>
  </si>
  <si>
    <t>USL</t>
  </si>
  <si>
    <t>LSL</t>
  </si>
  <si>
    <t>기준값(Reference)</t>
    <phoneticPr fontId="2" type="noConversion"/>
  </si>
  <si>
    <t>data 요약</t>
    <phoneticPr fontId="2" type="noConversion"/>
  </si>
  <si>
    <t>data수</t>
    <phoneticPr fontId="2" type="noConversion"/>
  </si>
  <si>
    <t>평균</t>
    <phoneticPr fontId="2" type="noConversion"/>
  </si>
  <si>
    <t>표준편차</t>
    <phoneticPr fontId="2" type="noConversion"/>
  </si>
  <si>
    <t>편의(Bias)</t>
    <phoneticPr fontId="2" type="noConversion"/>
  </si>
  <si>
    <t>공차</t>
    <phoneticPr fontId="2" type="noConversion"/>
  </si>
  <si>
    <t>판정</t>
    <phoneticPr fontId="2" type="noConversion"/>
  </si>
  <si>
    <t>1.  Resolution 적합도 판정</t>
    <phoneticPr fontId="2" type="noConversion"/>
  </si>
  <si>
    <t>%RE =</t>
    <phoneticPr fontId="2" type="noConversion"/>
  </si>
  <si>
    <t>RE/Tole %</t>
    <phoneticPr fontId="2" type="noConversion"/>
  </si>
  <si>
    <t>%</t>
    <phoneticPr fontId="2" type="noConversion"/>
  </si>
  <si>
    <t>기준 5% 이하는 불합격</t>
    <phoneticPr fontId="2" type="noConversion"/>
  </si>
  <si>
    <t xml:space="preserve">2. Cg/Cgk 판정 </t>
    <phoneticPr fontId="2" type="noConversion"/>
  </si>
  <si>
    <t>Cg  =</t>
    <phoneticPr fontId="2" type="noConversion"/>
  </si>
  <si>
    <t>0.2(공차) / 6s</t>
    <phoneticPr fontId="2" type="noConversion"/>
  </si>
  <si>
    <t>기준 1.33 이상 합격</t>
    <phoneticPr fontId="2" type="noConversion"/>
  </si>
  <si>
    <t>Cgk =</t>
    <phoneticPr fontId="2" type="noConversion"/>
  </si>
  <si>
    <t>(0.1*(공차)-편의)/3s</t>
    <phoneticPr fontId="2" type="noConversion"/>
  </si>
  <si>
    <t>3. AIAG 분석</t>
    <phoneticPr fontId="2" type="noConversion"/>
  </si>
  <si>
    <t>%EV 판정</t>
    <phoneticPr fontId="2" type="noConversion"/>
  </si>
  <si>
    <t xml:space="preserve">%EV = </t>
    <phoneticPr fontId="2" type="noConversion"/>
  </si>
  <si>
    <t>6s/공차 x 100</t>
    <phoneticPr fontId="2" type="noConversion"/>
  </si>
  <si>
    <t>기준 30% 이하 합격</t>
    <phoneticPr fontId="2" type="noConversion"/>
  </si>
  <si>
    <t>편의 가설검정</t>
    <phoneticPr fontId="2" type="noConversion"/>
  </si>
  <si>
    <t xml:space="preserve">H0 :  편의 0 </t>
    <phoneticPr fontId="2" type="noConversion"/>
  </si>
  <si>
    <t>검정 통계량 =</t>
    <phoneticPr fontId="2" type="noConversion"/>
  </si>
  <si>
    <t>편의 / 표준오차</t>
    <phoneticPr fontId="2" type="noConversion"/>
  </si>
  <si>
    <t>표준오차 =</t>
    <phoneticPr fontId="2" type="noConversion"/>
  </si>
  <si>
    <t xml:space="preserve">기각역 </t>
    <phoneticPr fontId="2" type="noConversion"/>
  </si>
  <si>
    <t>t(0975,자유도)</t>
    <phoneticPr fontId="2" type="noConversion"/>
  </si>
  <si>
    <t>종합</t>
    <phoneticPr fontId="2" type="noConversion"/>
  </si>
  <si>
    <t>%EV</t>
    <phoneticPr fontId="2" type="noConversion"/>
  </si>
  <si>
    <t>편의</t>
    <phoneticPr fontId="2" type="noConversion"/>
  </si>
  <si>
    <t>그래프</t>
    <phoneticPr fontId="2" type="noConversion"/>
  </si>
  <si>
    <t>Type 1 Gage R&amp;R  (단측)</t>
    <phoneticPr fontId="2" type="noConversion"/>
  </si>
  <si>
    <t xml:space="preserve">분석 Sheet </t>
    <phoneticPr fontId="2" type="noConversion"/>
  </si>
  <si>
    <t xml:space="preserve">계측기 해상도 </t>
    <phoneticPr fontId="2" type="noConversion"/>
  </si>
  <si>
    <t>㎜</t>
    <phoneticPr fontId="2" type="noConversion"/>
  </si>
  <si>
    <t>상한</t>
    <phoneticPr fontId="2" type="noConversion"/>
  </si>
  <si>
    <t>하한</t>
    <phoneticPr fontId="2" type="noConversion"/>
  </si>
  <si>
    <t>6σTotal</t>
    <phoneticPr fontId="2" type="noConversion"/>
  </si>
  <si>
    <t>유의수준</t>
    <phoneticPr fontId="2" type="noConversion"/>
  </si>
  <si>
    <t>1.  LSL + 4s</t>
    <phoneticPr fontId="2" type="noConversion"/>
  </si>
  <si>
    <t xml:space="preserve"> LSL + 4s</t>
    <phoneticPr fontId="2" type="noConversion"/>
  </si>
  <si>
    <t>; 판단기준 모든 DATA가 LSL+4s보다 큰가?</t>
    <phoneticPr fontId="2" type="noConversion"/>
  </si>
  <si>
    <t>2. AIAG 분석</t>
    <phoneticPr fontId="2" type="noConversion"/>
  </si>
  <si>
    <t>6s/6σTotal x 100</t>
    <phoneticPr fontId="2" type="noConversion"/>
  </si>
  <si>
    <t>Type 2 연속형</t>
    <phoneticPr fontId="2" type="noConversion"/>
  </si>
  <si>
    <t>Part</t>
  </si>
  <si>
    <t>Operator</t>
  </si>
  <si>
    <t>Data</t>
  </si>
  <si>
    <t>Rep.no</t>
  </si>
  <si>
    <t>S.Event</t>
  </si>
  <si>
    <t>*</t>
  </si>
  <si>
    <t>Break</t>
  </si>
  <si>
    <t>Re.Carib</t>
  </si>
  <si>
    <t>Type 2 파괴형</t>
    <phoneticPr fontId="2" type="noConversion"/>
  </si>
  <si>
    <t>Batch</t>
  </si>
  <si>
    <t>Measurement</t>
  </si>
  <si>
    <t>Kim</t>
  </si>
  <si>
    <t>s</t>
  </si>
  <si>
    <t>Ko</t>
  </si>
  <si>
    <t>Lee</t>
  </si>
  <si>
    <t>Type 3 Gage Study</t>
    <phoneticPr fontId="2" type="noConversion"/>
  </si>
  <si>
    <t>Type 4 Gage Study</t>
    <phoneticPr fontId="2" type="noConversion"/>
  </si>
  <si>
    <t>Part</t>
    <phoneticPr fontId="2" type="noConversion"/>
  </si>
  <si>
    <t>Standard</t>
    <phoneticPr fontId="2" type="noConversion"/>
  </si>
  <si>
    <t>Response</t>
    <phoneticPr fontId="2" type="noConversion"/>
  </si>
  <si>
    <t>부붐번호</t>
    <phoneticPr fontId="2" type="noConversion"/>
  </si>
  <si>
    <t>Ref</t>
    <phoneticPr fontId="2" type="noConversion"/>
  </si>
  <si>
    <t>Avg Bias</t>
    <phoneticPr fontId="2" type="noConversion"/>
  </si>
  <si>
    <t>반복 1</t>
    <phoneticPr fontId="2" type="noConversion"/>
  </si>
  <si>
    <t>반복 2</t>
  </si>
  <si>
    <t>반복 3</t>
  </si>
  <si>
    <t>반복 4</t>
  </si>
  <si>
    <t>반복 5</t>
  </si>
  <si>
    <t>반복 6</t>
  </si>
  <si>
    <t>반복 7</t>
  </si>
  <si>
    <t>반복 8</t>
  </si>
  <si>
    <t>반복 9</t>
  </si>
  <si>
    <t>반복 10</t>
  </si>
  <si>
    <t>반복 11</t>
  </si>
  <si>
    <t>반복 12</t>
  </si>
  <si>
    <t>편의 평균</t>
    <phoneticPr fontId="2" type="noConversion"/>
  </si>
  <si>
    <t>Type 5 Study</t>
    <phoneticPr fontId="2" type="noConversion"/>
  </si>
  <si>
    <t>X1</t>
  </si>
  <si>
    <t>X2</t>
  </si>
  <si>
    <t>X3</t>
  </si>
  <si>
    <t>X4</t>
  </si>
  <si>
    <t>X5</t>
  </si>
  <si>
    <t>X bar</t>
  </si>
  <si>
    <t>Range</t>
  </si>
  <si>
    <t>Appraiser</t>
  </si>
  <si>
    <t>Standard</t>
  </si>
  <si>
    <t>G</t>
  </si>
  <si>
    <t>Park</t>
  </si>
  <si>
    <t>NG</t>
  </si>
  <si>
    <t>평가자</t>
    <phoneticPr fontId="7" type="noConversion"/>
  </si>
  <si>
    <t>시료번호</t>
  </si>
  <si>
    <t>데이터</t>
  </si>
  <si>
    <t>표준</t>
  </si>
  <si>
    <t>LCD 품질 평가 데이터</t>
    <phoneticPr fontId="2" type="noConversion"/>
  </si>
  <si>
    <t>표본</t>
    <phoneticPr fontId="2" type="noConversion"/>
  </si>
  <si>
    <r>
      <t xml:space="preserve">표준
</t>
    </r>
    <r>
      <rPr>
        <sz val="8"/>
        <color theme="1"/>
        <rFont val="Calibri"/>
        <family val="3"/>
        <charset val="129"/>
        <scheme val="minor"/>
      </rPr>
      <t>전문가평가</t>
    </r>
    <phoneticPr fontId="2" type="noConversion"/>
  </si>
  <si>
    <t>평가자1</t>
    <phoneticPr fontId="2" type="noConversion"/>
  </si>
  <si>
    <t>평가자3</t>
    <phoneticPr fontId="2" type="noConversion"/>
  </si>
  <si>
    <t>평가자4</t>
    <phoneticPr fontId="2" type="noConversion"/>
  </si>
  <si>
    <t>반복1</t>
    <phoneticPr fontId="2" type="noConversion"/>
  </si>
  <si>
    <t>반복2</t>
    <phoneticPr fontId="2" type="noConversion"/>
  </si>
  <si>
    <t>Group</t>
    <phoneticPr fontId="2" type="noConversion"/>
  </si>
  <si>
    <t>Average</t>
    <phoneticPr fontId="2" type="noConversion"/>
  </si>
  <si>
    <t>STDEV</t>
    <phoneticPr fontId="2" type="noConversion"/>
  </si>
  <si>
    <t>Median</t>
    <phoneticPr fontId="2" type="noConversion"/>
  </si>
  <si>
    <t>Max</t>
    <phoneticPr fontId="2" type="noConversion"/>
  </si>
  <si>
    <t>Min</t>
    <phoneticPr fontId="2" type="noConversion"/>
  </si>
  <si>
    <t>Range</t>
    <phoneticPr fontId="2" type="noConversion"/>
  </si>
  <si>
    <t>Xbar</t>
    <phoneticPr fontId="2" type="noConversion"/>
  </si>
  <si>
    <t>R</t>
    <phoneticPr fontId="2" type="noConversion"/>
  </si>
  <si>
    <t>Index for Control Chart</t>
    <phoneticPr fontId="2" type="noConversion"/>
  </si>
  <si>
    <t>Group 
size</t>
    <phoneticPr fontId="2" type="noConversion"/>
  </si>
  <si>
    <t>A</t>
    <phoneticPr fontId="2" type="noConversion"/>
  </si>
  <si>
    <t>A2</t>
    <phoneticPr fontId="2" type="noConversion"/>
  </si>
  <si>
    <t>A3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</si>
  <si>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</si>
  <si>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</si>
  <si>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</si>
  <si>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B6</t>
  </si>
  <si>
    <t>D1</t>
    <phoneticPr fontId="2" type="noConversion"/>
  </si>
  <si>
    <t>D2</t>
    <phoneticPr fontId="2" type="noConversion"/>
  </si>
  <si>
    <t>D3</t>
  </si>
  <si>
    <t>D4</t>
  </si>
  <si>
    <t>c4</t>
    <phoneticPr fontId="2" type="noConversion"/>
  </si>
  <si>
    <t>d2</t>
    <phoneticPr fontId="2" type="noConversion"/>
  </si>
  <si>
    <t>d3</t>
    <phoneticPr fontId="2" type="noConversion"/>
  </si>
  <si>
    <t>m3</t>
    <phoneticPr fontId="2" type="noConversion"/>
  </si>
  <si>
    <t>-</t>
  </si>
  <si>
    <t>1.A</t>
  </si>
  <si>
    <t>1.M</t>
  </si>
  <si>
    <t>2.A</t>
  </si>
  <si>
    <t>2.M</t>
  </si>
  <si>
    <t>3.A</t>
  </si>
  <si>
    <t>3.M</t>
  </si>
  <si>
    <t>4.A</t>
  </si>
  <si>
    <t>4.M</t>
  </si>
  <si>
    <t>5.A</t>
  </si>
  <si>
    <t>5.M</t>
  </si>
  <si>
    <t>6.A</t>
  </si>
  <si>
    <t>6.M</t>
  </si>
  <si>
    <t>7.A</t>
  </si>
  <si>
    <t>7.M</t>
  </si>
  <si>
    <t>No.</t>
  </si>
  <si>
    <t>Thickness(mm)</t>
  </si>
  <si>
    <t>Date</t>
  </si>
  <si>
    <t>Sample N</t>
  </si>
  <si>
    <t>Reject N</t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</si>
  <si>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01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</si>
  <si>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04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</si>
  <si>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06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</si>
  <si>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07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</si>
  <si>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08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</si>
  <si>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11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</si>
  <si>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12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</si>
  <si>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13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</si>
  <si>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14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</si>
  <si>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15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</si>
  <si>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18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</si>
  <si>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19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</si>
  <si>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20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</si>
  <si>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28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</si>
  <si>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29</t>
    </r>
    <r>
      <rPr>
        <sz val="11"/>
        <color rgb="FF000000"/>
        <rFont val="Arial"/>
      </rPr>
      <t>일</t>
    </r>
  </si>
  <si>
    <r>
      <t>05</t>
    </r>
    <r>
      <rPr>
        <sz val="11"/>
        <color rgb="FF000000"/>
        <rFont val="Arial"/>
      </rPr>
      <t xml:space="preserve">월 </t>
    </r>
    <r>
      <rPr>
        <sz val="11"/>
        <color rgb="FF000000"/>
        <rFont val="맑은 고딕"/>
      </rPr>
      <t>30</t>
    </r>
    <r>
      <rPr>
        <sz val="11"/>
        <color rgb="FF000000"/>
        <rFont val="Arial"/>
      </rPr>
      <t>일</t>
    </r>
  </si>
  <si>
    <t>Sample 1</t>
  </si>
  <si>
    <t>Sample 2</t>
  </si>
  <si>
    <t>Sample 3</t>
  </si>
  <si>
    <t>Sample 4</t>
  </si>
  <si>
    <t>Sample 5</t>
  </si>
  <si>
    <t>Average</t>
  </si>
  <si>
    <t>spec 2+0.03/-0.05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</si>
</sst>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000"/>
    <numFmt numFmtId="178" formatCode="0.0_ "/>
    <numFmt numFmtId="179" formatCode="0.0000_ "/>
    <numFmt numFmtId="180" formatCode="0.00000"/>
    <numFmt numFmtId="181" formatCode="0.0"/>
  </numFmts>
  <fonts count="22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color theme="1"/>
      <name val="Calibri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rgb="FFFFFFFF"/>
      <name val="Arial"/>
    </font>
    <font>
      <sz val="12"/>
      <color rgb="FF000000"/>
      <name val="Arial"/>
    </font>
    <font>
      <sz val="12"/>
      <color rgb="FF000000"/>
      <name val="맑은 고딕"/>
    </font>
    <font>
      <sz val="9"/>
      <color rgb="FF000000"/>
      <name val="돋움"/>
    </font>
    <font>
      <b/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Arial"/>
    </font>
    <font>
      <sz val="18"/>
      <name val="Arial"/>
    </font>
    <font>
      <sz val="11"/>
      <color rgb="FF000000"/>
      <name val="Calibri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0" borderId="1" xfId="1" applyFont="1" applyBorder="1" applyAlignment="1"/>
    <xf numFmtId="0" fontId="1" fillId="0" borderId="0" xfId="0" applyFont="1">
      <alignment vertical="center"/>
    </xf>
    <xf numFmtId="0" fontId="4" fillId="0" borderId="0" xfId="1" applyFont="1" applyAlignment="1"/>
    <xf numFmtId="176" fontId="5" fillId="0" borderId="1" xfId="0" applyNumberFormat="1" applyFont="1" applyBorder="1" applyAlignment="1"/>
    <xf numFmtId="17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/>
    <xf numFmtId="178" fontId="5" fillId="0" borderId="1" xfId="0" applyNumberFormat="1" applyFont="1" applyBorder="1" applyAlignment="1"/>
    <xf numFmtId="0" fontId="0" fillId="0" borderId="0" xfId="0" applyAlignment="1">
      <alignment horizontal="center"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79" fontId="0" fillId="0" borderId="1" xfId="0" applyNumberFormat="1" applyBorder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6" fillId="0" borderId="0" xfId="0" applyFont="1" applyAlignment="1"/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181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 readingOrder="1"/>
    </xf>
    <xf numFmtId="0" fontId="9" fillId="7" borderId="8" xfId="0" applyFont="1" applyFill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9" fillId="7" borderId="9" xfId="0" applyFont="1" applyFill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top" wrapText="1"/>
    </xf>
    <xf numFmtId="0" fontId="11" fillId="9" borderId="10" xfId="0" applyFont="1" applyFill="1" applyBorder="1" applyAlignment="1">
      <alignment horizontal="center" vertical="top" wrapText="1"/>
    </xf>
    <xf numFmtId="0" fontId="10" fillId="8" borderId="11" xfId="0" applyFont="1" applyFill="1" applyBorder="1" applyAlignment="1">
      <alignment horizontal="center" vertical="top" wrapText="1"/>
    </xf>
    <xf numFmtId="0" fontId="11" fillId="9" borderId="1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 readingOrder="1"/>
    </xf>
    <xf numFmtId="0" fontId="0" fillId="0" borderId="5" xfId="0" applyBorder="1">
      <alignment vertical="center"/>
    </xf>
    <xf numFmtId="177" fontId="0" fillId="0" borderId="1" xfId="0" applyNumberFormat="1" applyBorder="1">
      <alignment vertical="center"/>
    </xf>
    <xf numFmtId="0" fontId="9" fillId="0" borderId="12" xfId="0" applyFont="1" applyBorder="1" applyAlignment="1">
      <alignment horizontal="center" vertical="center" wrapText="1" readingOrder="1"/>
    </xf>
    <xf numFmtId="0" fontId="0" fillId="0" borderId="13" xfId="0" applyBorder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2" fillId="10" borderId="14" xfId="0" applyFont="1" applyFill="1" applyBorder="1" applyAlignment="1">
      <alignment horizontal="center" wrapText="1" readingOrder="1"/>
    </xf>
    <xf numFmtId="0" fontId="12" fillId="10" borderId="15" xfId="0" applyFont="1" applyFill="1" applyBorder="1" applyAlignment="1">
      <alignment horizontal="center" wrapText="1" readingOrder="1"/>
    </xf>
    <xf numFmtId="0" fontId="12" fillId="10" borderId="16" xfId="0" applyFont="1" applyFill="1" applyBorder="1" applyAlignment="1">
      <alignment horizontal="center" wrapText="1" readingOrder="1"/>
    </xf>
    <xf numFmtId="0" fontId="13" fillId="0" borderId="14" xfId="0" applyFont="1" applyBorder="1" applyAlignment="1">
      <alignment horizontal="center" wrapText="1" readingOrder="1"/>
    </xf>
    <xf numFmtId="0" fontId="13" fillId="0" borderId="15" xfId="0" applyFont="1" applyBorder="1" applyAlignment="1">
      <alignment horizontal="center" wrapText="1" readingOrder="1"/>
    </xf>
    <xf numFmtId="0" fontId="13" fillId="0" borderId="16" xfId="0" applyFont="1" applyBorder="1" applyAlignment="1">
      <alignment horizontal="center" wrapText="1" readingOrder="1"/>
    </xf>
    <xf numFmtId="0" fontId="12" fillId="10" borderId="8" xfId="0" applyFont="1" applyFill="1" applyBorder="1" applyAlignment="1">
      <alignment horizontal="center" wrapText="1" readingOrder="1"/>
    </xf>
    <xf numFmtId="0" fontId="14" fillId="0" borderId="8" xfId="0" applyFont="1" applyBorder="1" applyAlignment="1">
      <alignment horizontal="center" wrapText="1" readingOrder="1"/>
    </xf>
    <xf numFmtId="0" fontId="15" fillId="0" borderId="17" xfId="0" applyFont="1" applyBorder="1" applyAlignment="1">
      <alignment horizontal="center" wrapText="1" readingOrder="1"/>
    </xf>
    <xf numFmtId="0" fontId="15" fillId="0" borderId="18" xfId="0" applyFont="1" applyBorder="1" applyAlignment="1">
      <alignment horizontal="center" wrapText="1" readingOrder="1"/>
    </xf>
    <xf numFmtId="0" fontId="15" fillId="0" borderId="0" xfId="0" applyFont="1" applyAlignment="1">
      <alignment horizontal="center" wrapText="1" readingOrder="1"/>
    </xf>
    <xf numFmtId="0" fontId="16" fillId="11" borderId="8" xfId="0" applyFont="1" applyFill="1" applyBorder="1" applyAlignment="1">
      <alignment horizontal="center" vertical="center" wrapText="1" readingOrder="1"/>
    </xf>
    <xf numFmtId="0" fontId="16" fillId="11" borderId="8" xfId="0" applyFont="1" applyFill="1" applyBorder="1" applyAlignment="1">
      <alignment horizontal="center" wrapText="1" readingOrder="1"/>
    </xf>
    <xf numFmtId="0" fontId="17" fillId="0" borderId="8" xfId="0" applyFont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center" wrapText="1" readingOrder="1"/>
    </xf>
    <xf numFmtId="0" fontId="20" fillId="0" borderId="8" xfId="0" applyFont="1" applyBorder="1" applyAlignment="1">
      <alignment horizontal="center" vertical="center" wrapText="1" readingOrder="1"/>
    </xf>
    <xf numFmtId="0" fontId="21" fillId="0" borderId="8" xfId="0" applyFont="1" applyBorder="1" applyAlignment="1">
      <alignment horizontal="center" vertical="center" wrapText="1" readingOrder="1"/>
    </xf>
    <xf numFmtId="14" fontId="20" fillId="0" borderId="8" xfId="0" applyNumberFormat="1" applyFont="1" applyBorder="1" applyAlignment="1">
      <alignment horizontal="center" vertical="center" wrapText="1" readingOrder="1"/>
    </xf>
    <xf numFmtId="0" fontId="20" fillId="0" borderId="8" xfId="0" applyFont="1" applyBorder="1" applyAlignment="1">
      <alignment horizontal="center" wrapText="1" readingOrder="1"/>
    </xf>
    <xf numFmtId="0" fontId="19" fillId="0" borderId="19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21" fillId="0" borderId="8" xfId="0" applyFont="1" applyBorder="1" applyAlignment="1">
      <alignment horizontal="center" wrapText="1" readingOrder="1"/>
    </xf>
    <xf numFmtId="0" fontId="0" fillId="0" borderId="0" xfId="0" applyAlignment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'Type 1 both side'!$C$4</c:f>
              <c:strCache>
                <c:ptCount val="1"/>
                <c:pt idx="0">
                  <c:v>Data</c:v>
                </c:pt>
              </c:strCache>
            </c:strRef>
          </c:tx>
          <c:val>
            <c:numRef>
              <c:f>'Type 1 both side'!$C$5:$C$54</c:f>
              <c:numCache>
                <c:formatCode>General</c:formatCode>
                <c:ptCount val="50"/>
                <c:pt idx="0">
                  <c:v>12.3057</c:v>
                </c:pt>
                <c:pt idx="1">
                  <c:v>12.3009</c:v>
                </c:pt>
                <c:pt idx="2">
                  <c:v>12.303699999999999</c:v>
                </c:pt>
                <c:pt idx="3">
                  <c:v>12.297499999999999</c:v>
                </c:pt>
                <c:pt idx="4">
                  <c:v>12.3056</c:v>
                </c:pt>
                <c:pt idx="5">
                  <c:v>12.3033</c:v>
                </c:pt>
                <c:pt idx="6">
                  <c:v>12.303000000000001</c:v>
                </c:pt>
                <c:pt idx="7">
                  <c:v>12.2965</c:v>
                </c:pt>
                <c:pt idx="8">
                  <c:v>12.2986</c:v>
                </c:pt>
                <c:pt idx="9">
                  <c:v>12.303100000000001</c:v>
                </c:pt>
                <c:pt idx="10">
                  <c:v>12.305099999999999</c:v>
                </c:pt>
                <c:pt idx="11">
                  <c:v>12.3056</c:v>
                </c:pt>
                <c:pt idx="12">
                  <c:v>12.303599999999999</c:v>
                </c:pt>
                <c:pt idx="13">
                  <c:v>12.309100000000001</c:v>
                </c:pt>
                <c:pt idx="14">
                  <c:v>12.302899999999999</c:v>
                </c:pt>
                <c:pt idx="15">
                  <c:v>12.306100000000001</c:v>
                </c:pt>
                <c:pt idx="16">
                  <c:v>12.297700000000001</c:v>
                </c:pt>
                <c:pt idx="17">
                  <c:v>12.301299999999999</c:v>
                </c:pt>
                <c:pt idx="18">
                  <c:v>12.3081</c:v>
                </c:pt>
                <c:pt idx="19">
                  <c:v>12.2944</c:v>
                </c:pt>
                <c:pt idx="20">
                  <c:v>12.304600000000001</c:v>
                </c:pt>
                <c:pt idx="21">
                  <c:v>12.301399999999999</c:v>
                </c:pt>
                <c:pt idx="22">
                  <c:v>12.304500000000001</c:v>
                </c:pt>
                <c:pt idx="23">
                  <c:v>12.301500000000001</c:v>
                </c:pt>
                <c:pt idx="24">
                  <c:v>12.305400000000001</c:v>
                </c:pt>
                <c:pt idx="25">
                  <c:v>12.295299999999999</c:v>
                </c:pt>
                <c:pt idx="26">
                  <c:v>12.295400000000001</c:v>
                </c:pt>
                <c:pt idx="27">
                  <c:v>12.3047</c:v>
                </c:pt>
                <c:pt idx="28">
                  <c:v>12.3035</c:v>
                </c:pt>
                <c:pt idx="29">
                  <c:v>12.3003</c:v>
                </c:pt>
                <c:pt idx="30">
                  <c:v>12.304399999999999</c:v>
                </c:pt>
                <c:pt idx="31">
                  <c:v>12.302300000000001</c:v>
                </c:pt>
                <c:pt idx="32">
                  <c:v>12.3095</c:v>
                </c:pt>
                <c:pt idx="33">
                  <c:v>12.299799999999999</c:v>
                </c:pt>
                <c:pt idx="34">
                  <c:v>12.3034</c:v>
                </c:pt>
                <c:pt idx="35">
                  <c:v>12.3026</c:v>
                </c:pt>
                <c:pt idx="36">
                  <c:v>12.302099999999999</c:v>
                </c:pt>
                <c:pt idx="37">
                  <c:v>12.306100000000001</c:v>
                </c:pt>
                <c:pt idx="38">
                  <c:v>12.304500000000001</c:v>
                </c:pt>
                <c:pt idx="39">
                  <c:v>12.302099999999999</c:v>
                </c:pt>
                <c:pt idx="40">
                  <c:v>12.303699999999999</c:v>
                </c:pt>
                <c:pt idx="41">
                  <c:v>12.2997</c:v>
                </c:pt>
                <c:pt idx="42">
                  <c:v>12.303800000000001</c:v>
                </c:pt>
                <c:pt idx="43">
                  <c:v>12.307600000000001</c:v>
                </c:pt>
                <c:pt idx="44">
                  <c:v>12.3063</c:v>
                </c:pt>
                <c:pt idx="45">
                  <c:v>12.3018</c:v>
                </c:pt>
                <c:pt idx="46">
                  <c:v>12.2981</c:v>
                </c:pt>
                <c:pt idx="47">
                  <c:v>12.2965</c:v>
                </c:pt>
                <c:pt idx="48">
                  <c:v>12.308199999999999</c:v>
                </c:pt>
                <c:pt idx="49">
                  <c:v>12.3034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3-480B-80B3-FE772A7BE6D4}"/>
            </c:ext>
          </c:extLst>
        </c:ser>
        <c:ser>
          <c:idx val="2"/>
          <c:order val="1"/>
          <c:tx>
            <c:strRef>
              <c:f>'Type 1 both side'!$D$4</c:f>
              <c:strCache>
                <c:ptCount val="1"/>
              </c:strCache>
            </c:strRef>
          </c:tx>
          <c:val>
            <c:numRef>
              <c:f>'Type 1 both side'!$D$5:$D$54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3-480B-80B3-FE772A7BE6D4}"/>
            </c:ext>
          </c:extLst>
        </c:ser>
        <c:ser>
          <c:idx val="3"/>
          <c:order val="2"/>
          <c:tx>
            <c:strRef>
              <c:f>'Type 1 both side'!$E$4</c:f>
              <c:strCache>
                <c:ptCount val="1"/>
                <c:pt idx="0">
                  <c:v>기준값</c:v>
                </c:pt>
              </c:strCache>
            </c:strRef>
          </c:tx>
          <c:marker>
            <c:symbol val="none"/>
          </c:marker>
          <c:val>
            <c:numRef>
              <c:f>'Type 1 both side'!$E$5:$E$54</c:f>
              <c:numCache>
                <c:formatCode>General</c:formatCode>
                <c:ptCount val="50"/>
                <c:pt idx="0">
                  <c:v>12.305</c:v>
                </c:pt>
                <c:pt idx="1">
                  <c:v>12.305</c:v>
                </c:pt>
                <c:pt idx="2">
                  <c:v>12.305</c:v>
                </c:pt>
                <c:pt idx="3">
                  <c:v>12.305</c:v>
                </c:pt>
                <c:pt idx="4">
                  <c:v>12.305</c:v>
                </c:pt>
                <c:pt idx="5">
                  <c:v>12.305</c:v>
                </c:pt>
                <c:pt idx="6">
                  <c:v>12.305</c:v>
                </c:pt>
                <c:pt idx="7">
                  <c:v>12.305</c:v>
                </c:pt>
                <c:pt idx="8">
                  <c:v>12.305</c:v>
                </c:pt>
                <c:pt idx="9">
                  <c:v>12.305</c:v>
                </c:pt>
                <c:pt idx="10">
                  <c:v>12.305</c:v>
                </c:pt>
                <c:pt idx="11">
                  <c:v>12.305</c:v>
                </c:pt>
                <c:pt idx="12">
                  <c:v>12.305</c:v>
                </c:pt>
                <c:pt idx="13">
                  <c:v>12.305</c:v>
                </c:pt>
                <c:pt idx="14">
                  <c:v>12.305</c:v>
                </c:pt>
                <c:pt idx="15">
                  <c:v>12.305</c:v>
                </c:pt>
                <c:pt idx="16">
                  <c:v>12.305</c:v>
                </c:pt>
                <c:pt idx="17">
                  <c:v>12.305</c:v>
                </c:pt>
                <c:pt idx="18">
                  <c:v>12.305</c:v>
                </c:pt>
                <c:pt idx="19">
                  <c:v>12.305</c:v>
                </c:pt>
                <c:pt idx="20">
                  <c:v>12.305</c:v>
                </c:pt>
                <c:pt idx="21">
                  <c:v>12.305</c:v>
                </c:pt>
                <c:pt idx="22">
                  <c:v>12.305</c:v>
                </c:pt>
                <c:pt idx="23">
                  <c:v>12.305</c:v>
                </c:pt>
                <c:pt idx="24">
                  <c:v>12.305</c:v>
                </c:pt>
                <c:pt idx="25">
                  <c:v>12.305</c:v>
                </c:pt>
                <c:pt idx="26">
                  <c:v>12.305</c:v>
                </c:pt>
                <c:pt idx="27">
                  <c:v>12.305</c:v>
                </c:pt>
                <c:pt idx="28">
                  <c:v>12.305</c:v>
                </c:pt>
                <c:pt idx="29">
                  <c:v>12.305</c:v>
                </c:pt>
                <c:pt idx="30">
                  <c:v>12.305</c:v>
                </c:pt>
                <c:pt idx="31">
                  <c:v>12.305</c:v>
                </c:pt>
                <c:pt idx="32">
                  <c:v>12.305</c:v>
                </c:pt>
                <c:pt idx="33">
                  <c:v>12.305</c:v>
                </c:pt>
                <c:pt idx="34">
                  <c:v>12.305</c:v>
                </c:pt>
                <c:pt idx="35">
                  <c:v>12.305</c:v>
                </c:pt>
                <c:pt idx="36">
                  <c:v>12.305</c:v>
                </c:pt>
                <c:pt idx="37">
                  <c:v>12.305</c:v>
                </c:pt>
                <c:pt idx="38">
                  <c:v>12.305</c:v>
                </c:pt>
                <c:pt idx="39">
                  <c:v>12.305</c:v>
                </c:pt>
                <c:pt idx="40">
                  <c:v>12.305</c:v>
                </c:pt>
                <c:pt idx="41">
                  <c:v>12.305</c:v>
                </c:pt>
                <c:pt idx="42">
                  <c:v>12.305</c:v>
                </c:pt>
                <c:pt idx="43">
                  <c:v>12.305</c:v>
                </c:pt>
                <c:pt idx="44">
                  <c:v>12.305</c:v>
                </c:pt>
                <c:pt idx="45">
                  <c:v>12.305</c:v>
                </c:pt>
                <c:pt idx="46">
                  <c:v>12.305</c:v>
                </c:pt>
                <c:pt idx="47">
                  <c:v>12.305</c:v>
                </c:pt>
                <c:pt idx="48">
                  <c:v>12.305</c:v>
                </c:pt>
                <c:pt idx="49">
                  <c:v>12.305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3-480B-80B3-FE772A7BE6D4}"/>
            </c:ext>
          </c:extLst>
        </c:ser>
        <c:ser>
          <c:idx val="4"/>
          <c:order val="3"/>
          <c:tx>
            <c:strRef>
              <c:f>'Type 1 both side'!$F$4</c:f>
              <c:strCache>
                <c:ptCount val="1"/>
                <c:pt idx="0">
                  <c:v>UCL</c:v>
                </c:pt>
              </c:strCache>
            </c:strRef>
          </c:tx>
          <c:marker>
            <c:symbol val="none"/>
          </c:marker>
          <c:val>
            <c:numRef>
              <c:f>'Type 1 both side'!$F$5:$F$54</c:f>
              <c:numCache>
                <c:formatCode>General</c:formatCode>
                <c:ptCount val="50"/>
                <c:pt idx="0">
                  <c:v>12.31</c:v>
                </c:pt>
                <c:pt idx="1">
                  <c:v>12.31</c:v>
                </c:pt>
                <c:pt idx="2">
                  <c:v>12.31</c:v>
                </c:pt>
                <c:pt idx="3">
                  <c:v>12.31</c:v>
                </c:pt>
                <c:pt idx="4">
                  <c:v>12.31</c:v>
                </c:pt>
                <c:pt idx="5">
                  <c:v>12.31</c:v>
                </c:pt>
                <c:pt idx="6">
                  <c:v>12.31</c:v>
                </c:pt>
                <c:pt idx="7">
                  <c:v>12.31</c:v>
                </c:pt>
                <c:pt idx="8">
                  <c:v>12.31</c:v>
                </c:pt>
                <c:pt idx="9">
                  <c:v>12.31</c:v>
                </c:pt>
                <c:pt idx="10">
                  <c:v>12.31</c:v>
                </c:pt>
                <c:pt idx="11">
                  <c:v>12.31</c:v>
                </c:pt>
                <c:pt idx="12">
                  <c:v>12.31</c:v>
                </c:pt>
                <c:pt idx="13">
                  <c:v>12.31</c:v>
                </c:pt>
                <c:pt idx="14">
                  <c:v>12.31</c:v>
                </c:pt>
                <c:pt idx="15">
                  <c:v>12.31</c:v>
                </c:pt>
                <c:pt idx="16">
                  <c:v>12.31</c:v>
                </c:pt>
                <c:pt idx="17">
                  <c:v>12.31</c:v>
                </c:pt>
                <c:pt idx="18">
                  <c:v>12.31</c:v>
                </c:pt>
                <c:pt idx="19">
                  <c:v>12.31</c:v>
                </c:pt>
                <c:pt idx="20">
                  <c:v>12.31</c:v>
                </c:pt>
                <c:pt idx="21">
                  <c:v>12.31</c:v>
                </c:pt>
                <c:pt idx="22">
                  <c:v>12.31</c:v>
                </c:pt>
                <c:pt idx="23">
                  <c:v>12.31</c:v>
                </c:pt>
                <c:pt idx="24">
                  <c:v>12.31</c:v>
                </c:pt>
                <c:pt idx="25">
                  <c:v>12.31</c:v>
                </c:pt>
                <c:pt idx="26">
                  <c:v>12.31</c:v>
                </c:pt>
                <c:pt idx="27">
                  <c:v>12.31</c:v>
                </c:pt>
                <c:pt idx="28">
                  <c:v>12.31</c:v>
                </c:pt>
                <c:pt idx="29">
                  <c:v>12.31</c:v>
                </c:pt>
                <c:pt idx="30">
                  <c:v>12.31</c:v>
                </c:pt>
                <c:pt idx="31">
                  <c:v>12.31</c:v>
                </c:pt>
                <c:pt idx="32">
                  <c:v>12.31</c:v>
                </c:pt>
                <c:pt idx="33">
                  <c:v>12.31</c:v>
                </c:pt>
                <c:pt idx="34">
                  <c:v>12.31</c:v>
                </c:pt>
                <c:pt idx="35">
                  <c:v>12.31</c:v>
                </c:pt>
                <c:pt idx="36">
                  <c:v>12.31</c:v>
                </c:pt>
                <c:pt idx="37">
                  <c:v>12.31</c:v>
                </c:pt>
                <c:pt idx="38">
                  <c:v>12.31</c:v>
                </c:pt>
                <c:pt idx="39">
                  <c:v>12.31</c:v>
                </c:pt>
                <c:pt idx="40">
                  <c:v>12.31</c:v>
                </c:pt>
                <c:pt idx="41">
                  <c:v>12.31</c:v>
                </c:pt>
                <c:pt idx="42">
                  <c:v>12.31</c:v>
                </c:pt>
                <c:pt idx="43">
                  <c:v>12.31</c:v>
                </c:pt>
                <c:pt idx="44">
                  <c:v>12.31</c:v>
                </c:pt>
                <c:pt idx="45">
                  <c:v>12.31</c:v>
                </c:pt>
                <c:pt idx="46">
                  <c:v>12.31</c:v>
                </c:pt>
                <c:pt idx="47">
                  <c:v>12.31</c:v>
                </c:pt>
                <c:pt idx="48">
                  <c:v>12.31</c:v>
                </c:pt>
                <c:pt idx="49">
                  <c:v>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3-480B-80B3-FE772A7BE6D4}"/>
            </c:ext>
          </c:extLst>
        </c:ser>
        <c:ser>
          <c:idx val="5"/>
          <c:order val="4"/>
          <c:tx>
            <c:strRef>
              <c:f>'Type 1 both side'!$G$4</c:f>
              <c:strCache>
                <c:ptCount val="1"/>
                <c:pt idx="0">
                  <c:v>LCL</c:v>
                </c:pt>
              </c:strCache>
            </c:strRef>
          </c:tx>
          <c:marker>
            <c:symbol val="none"/>
          </c:marker>
          <c:val>
            <c:numRef>
              <c:f>'Type 1 both side'!$G$5:$G$54</c:f>
              <c:numCache>
                <c:formatCode>General</c:formatCode>
                <c:ptCount val="50"/>
                <c:pt idx="0">
                  <c:v>12.299999999999999</c:v>
                </c:pt>
                <c:pt idx="1">
                  <c:v>12.299999999999999</c:v>
                </c:pt>
                <c:pt idx="2">
                  <c:v>12.299999999999999</c:v>
                </c:pt>
                <c:pt idx="3">
                  <c:v>12.299999999999999</c:v>
                </c:pt>
                <c:pt idx="4">
                  <c:v>12.299999999999999</c:v>
                </c:pt>
                <c:pt idx="5">
                  <c:v>12.299999999999999</c:v>
                </c:pt>
                <c:pt idx="6">
                  <c:v>12.299999999999999</c:v>
                </c:pt>
                <c:pt idx="7">
                  <c:v>12.299999999999999</c:v>
                </c:pt>
                <c:pt idx="8">
                  <c:v>12.299999999999999</c:v>
                </c:pt>
                <c:pt idx="9">
                  <c:v>12.299999999999999</c:v>
                </c:pt>
                <c:pt idx="10">
                  <c:v>12.299999999999999</c:v>
                </c:pt>
                <c:pt idx="11">
                  <c:v>12.299999999999999</c:v>
                </c:pt>
                <c:pt idx="12">
                  <c:v>12.299999999999999</c:v>
                </c:pt>
                <c:pt idx="13">
                  <c:v>12.299999999999999</c:v>
                </c:pt>
                <c:pt idx="14">
                  <c:v>12.299999999999999</c:v>
                </c:pt>
                <c:pt idx="15">
                  <c:v>12.299999999999999</c:v>
                </c:pt>
                <c:pt idx="16">
                  <c:v>12.299999999999999</c:v>
                </c:pt>
                <c:pt idx="17">
                  <c:v>12.299999999999999</c:v>
                </c:pt>
                <c:pt idx="18">
                  <c:v>12.299999999999999</c:v>
                </c:pt>
                <c:pt idx="19">
                  <c:v>12.299999999999999</c:v>
                </c:pt>
                <c:pt idx="20">
                  <c:v>12.299999999999999</c:v>
                </c:pt>
                <c:pt idx="21">
                  <c:v>12.299999999999999</c:v>
                </c:pt>
                <c:pt idx="22">
                  <c:v>12.299999999999999</c:v>
                </c:pt>
                <c:pt idx="23">
                  <c:v>12.299999999999999</c:v>
                </c:pt>
                <c:pt idx="24">
                  <c:v>12.299999999999999</c:v>
                </c:pt>
                <c:pt idx="25">
                  <c:v>12.299999999999999</c:v>
                </c:pt>
                <c:pt idx="26">
                  <c:v>12.299999999999999</c:v>
                </c:pt>
                <c:pt idx="27">
                  <c:v>12.299999999999999</c:v>
                </c:pt>
                <c:pt idx="28">
                  <c:v>12.299999999999999</c:v>
                </c:pt>
                <c:pt idx="29">
                  <c:v>12.299999999999999</c:v>
                </c:pt>
                <c:pt idx="30">
                  <c:v>12.299999999999999</c:v>
                </c:pt>
                <c:pt idx="31">
                  <c:v>12.299999999999999</c:v>
                </c:pt>
                <c:pt idx="32">
                  <c:v>12.299999999999999</c:v>
                </c:pt>
                <c:pt idx="33">
                  <c:v>12.299999999999999</c:v>
                </c:pt>
                <c:pt idx="34">
                  <c:v>12.299999999999999</c:v>
                </c:pt>
                <c:pt idx="35">
                  <c:v>12.299999999999999</c:v>
                </c:pt>
                <c:pt idx="36">
                  <c:v>12.299999999999999</c:v>
                </c:pt>
                <c:pt idx="37">
                  <c:v>12.299999999999999</c:v>
                </c:pt>
                <c:pt idx="38">
                  <c:v>12.299999999999999</c:v>
                </c:pt>
                <c:pt idx="39">
                  <c:v>12.299999999999999</c:v>
                </c:pt>
                <c:pt idx="40">
                  <c:v>12.299999999999999</c:v>
                </c:pt>
                <c:pt idx="41">
                  <c:v>12.299999999999999</c:v>
                </c:pt>
                <c:pt idx="42">
                  <c:v>12.299999999999999</c:v>
                </c:pt>
                <c:pt idx="43">
                  <c:v>12.299999999999999</c:v>
                </c:pt>
                <c:pt idx="44">
                  <c:v>12.299999999999999</c:v>
                </c:pt>
                <c:pt idx="45">
                  <c:v>12.299999999999999</c:v>
                </c:pt>
                <c:pt idx="46">
                  <c:v>12.299999999999999</c:v>
                </c:pt>
                <c:pt idx="47">
                  <c:v>12.299999999999999</c:v>
                </c:pt>
                <c:pt idx="48">
                  <c:v>12.299999999999999</c:v>
                </c:pt>
                <c:pt idx="49">
                  <c:v>12.299999999999999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3-480B-80B3-FE772A7BE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3241664"/>
        <c:axId val="-1933253088"/>
      </c:lineChart>
      <c:catAx>
        <c:axId val="-193324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-1933253088"/>
        <c:crosses val="autoZero"/>
        <c:auto val="1"/>
        <c:lblAlgn val="ctr"/>
        <c:lblOffset val="100"/>
        <c:noMultiLvlLbl val="0"/>
      </c:catAx>
      <c:valAx>
        <c:axId val="-193325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93324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'Type 1 one side'!$C$3</c:f>
              <c:strCache>
                <c:ptCount val="1"/>
                <c:pt idx="0">
                  <c:v>Data</c:v>
                </c:pt>
              </c:strCache>
            </c:strRef>
          </c:tx>
          <c:val>
            <c:numRef>
              <c:f>'Type 1 one side'!$C$4:$C$53</c:f>
              <c:numCache>
                <c:formatCode>0.000_ </c:formatCode>
                <c:ptCount val="50"/>
                <c:pt idx="0">
                  <c:v>21.67</c:v>
                </c:pt>
                <c:pt idx="1">
                  <c:v>22.318000000000001</c:v>
                </c:pt>
                <c:pt idx="2">
                  <c:v>22.094000000000001</c:v>
                </c:pt>
                <c:pt idx="3">
                  <c:v>21.507000000000001</c:v>
                </c:pt>
                <c:pt idx="4">
                  <c:v>21.797999999999998</c:v>
                </c:pt>
                <c:pt idx="5">
                  <c:v>22.285</c:v>
                </c:pt>
                <c:pt idx="6">
                  <c:v>21.824000000000002</c:v>
                </c:pt>
                <c:pt idx="7">
                  <c:v>21.998999999999999</c:v>
                </c:pt>
                <c:pt idx="8">
                  <c:v>21.960999999999999</c:v>
                </c:pt>
                <c:pt idx="9">
                  <c:v>21.983000000000001</c:v>
                </c:pt>
                <c:pt idx="10">
                  <c:v>21.600999999999999</c:v>
                </c:pt>
                <c:pt idx="11">
                  <c:v>21.49</c:v>
                </c:pt>
                <c:pt idx="12">
                  <c:v>21.97</c:v>
                </c:pt>
                <c:pt idx="13">
                  <c:v>22.312999999999999</c:v>
                </c:pt>
                <c:pt idx="14">
                  <c:v>22.477</c:v>
                </c:pt>
                <c:pt idx="15">
                  <c:v>21.881</c:v>
                </c:pt>
                <c:pt idx="16">
                  <c:v>21.324000000000002</c:v>
                </c:pt>
                <c:pt idx="17">
                  <c:v>22.138000000000002</c:v>
                </c:pt>
                <c:pt idx="18">
                  <c:v>21.888000000000002</c:v>
                </c:pt>
                <c:pt idx="19">
                  <c:v>22.216999999999999</c:v>
                </c:pt>
                <c:pt idx="20">
                  <c:v>21.902000000000001</c:v>
                </c:pt>
                <c:pt idx="21">
                  <c:v>21.86</c:v>
                </c:pt>
                <c:pt idx="22">
                  <c:v>22.26</c:v>
                </c:pt>
                <c:pt idx="23">
                  <c:v>21.702999999999999</c:v>
                </c:pt>
                <c:pt idx="24">
                  <c:v>21.841999999999999</c:v>
                </c:pt>
                <c:pt idx="25">
                  <c:v>21.965</c:v>
                </c:pt>
                <c:pt idx="26">
                  <c:v>21.684000000000001</c:v>
                </c:pt>
                <c:pt idx="27">
                  <c:v>22.215</c:v>
                </c:pt>
                <c:pt idx="28">
                  <c:v>21.693999999999999</c:v>
                </c:pt>
                <c:pt idx="29">
                  <c:v>21.721</c:v>
                </c:pt>
                <c:pt idx="30">
                  <c:v>21.393999999999998</c:v>
                </c:pt>
                <c:pt idx="31">
                  <c:v>22.007999999999999</c:v>
                </c:pt>
                <c:pt idx="32">
                  <c:v>22.266999999999999</c:v>
                </c:pt>
                <c:pt idx="33">
                  <c:v>21.597000000000001</c:v>
                </c:pt>
                <c:pt idx="34">
                  <c:v>21.821000000000002</c:v>
                </c:pt>
                <c:pt idx="35">
                  <c:v>21.995000000000001</c:v>
                </c:pt>
                <c:pt idx="36">
                  <c:v>21.664000000000001</c:v>
                </c:pt>
                <c:pt idx="37">
                  <c:v>22.038</c:v>
                </c:pt>
                <c:pt idx="38">
                  <c:v>22.015000000000001</c:v>
                </c:pt>
                <c:pt idx="39">
                  <c:v>21.73</c:v>
                </c:pt>
                <c:pt idx="40">
                  <c:v>22.393000000000001</c:v>
                </c:pt>
                <c:pt idx="41">
                  <c:v>21.952999999999999</c:v>
                </c:pt>
                <c:pt idx="42">
                  <c:v>22.277999999999999</c:v>
                </c:pt>
                <c:pt idx="43">
                  <c:v>21.779</c:v>
                </c:pt>
                <c:pt idx="44">
                  <c:v>21.367999999999999</c:v>
                </c:pt>
                <c:pt idx="45">
                  <c:v>21.885999999999999</c:v>
                </c:pt>
                <c:pt idx="46">
                  <c:v>21.966999999999999</c:v>
                </c:pt>
                <c:pt idx="47">
                  <c:v>22.294</c:v>
                </c:pt>
                <c:pt idx="48">
                  <c:v>22.062000000000001</c:v>
                </c:pt>
                <c:pt idx="49">
                  <c:v>22.181000000000001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C-4395-B209-DD391361F0FA}"/>
            </c:ext>
          </c:extLst>
        </c:ser>
        <c:ser>
          <c:idx val="2"/>
          <c:order val="1"/>
          <c:tx>
            <c:strRef>
              <c:f>'Type 1 one side'!$D$3</c:f>
              <c:strCache>
                <c:ptCount val="1"/>
              </c:strCache>
            </c:strRef>
          </c:tx>
          <c:val>
            <c:numRef>
              <c:f>'Type 1 one side'!$D$4:$D$53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C-4395-B209-DD391361F0FA}"/>
            </c:ext>
          </c:extLst>
        </c:ser>
        <c:ser>
          <c:idx val="3"/>
          <c:order val="2"/>
          <c:tx>
            <c:strRef>
              <c:f>'Type 1 one side'!$E$3</c:f>
              <c:strCache>
                <c:ptCount val="1"/>
                <c:pt idx="0">
                  <c:v>기준값</c:v>
                </c:pt>
              </c:strCache>
            </c:strRef>
          </c:tx>
          <c:marker>
            <c:symbol val="none"/>
          </c:marker>
          <c:val>
            <c:numRef>
              <c:f>'Type 1 one side'!$E$4:$E$53</c:f>
              <c:numCache>
                <c:formatCode>General</c:formatCode>
                <c:ptCount val="5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C-4395-B209-DD391361F0FA}"/>
            </c:ext>
          </c:extLst>
        </c:ser>
        <c:ser>
          <c:idx val="4"/>
          <c:order val="3"/>
          <c:tx>
            <c:strRef>
              <c:f>'Type 1 one side'!$F$3</c:f>
              <c:strCache>
                <c:ptCount val="1"/>
              </c:strCache>
            </c:strRef>
          </c:tx>
          <c:val>
            <c:numRef>
              <c:f>'Type 1 one side'!$F$4:$F$53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C-4395-B209-DD391361F0FA}"/>
            </c:ext>
          </c:extLst>
        </c:ser>
        <c:ser>
          <c:idx val="5"/>
          <c:order val="4"/>
          <c:tx>
            <c:strRef>
              <c:f>'Type 1 one side'!$G$3</c:f>
              <c:strCache>
                <c:ptCount val="1"/>
                <c:pt idx="0">
                  <c:v>LCL</c:v>
                </c:pt>
              </c:strCache>
            </c:strRef>
          </c:tx>
          <c:marker>
            <c:symbol val="none"/>
          </c:marker>
          <c:val>
            <c:numRef>
              <c:f>'Type 1 one side'!$G$4:$G$53</c:f>
              <c:numCache>
                <c:formatCode>General</c:formatCode>
                <c:ptCount val="50"/>
                <c:pt idx="0">
                  <c:v>21.114388050978324</c:v>
                </c:pt>
                <c:pt idx="1">
                  <c:v>21.114388050978324</c:v>
                </c:pt>
                <c:pt idx="2">
                  <c:v>21.114388050978324</c:v>
                </c:pt>
                <c:pt idx="3">
                  <c:v>21.114388050978324</c:v>
                </c:pt>
                <c:pt idx="4">
                  <c:v>21.114388050978324</c:v>
                </c:pt>
                <c:pt idx="5">
                  <c:v>21.114388050978324</c:v>
                </c:pt>
                <c:pt idx="6">
                  <c:v>21.114388050978324</c:v>
                </c:pt>
                <c:pt idx="7">
                  <c:v>21.114388050978324</c:v>
                </c:pt>
                <c:pt idx="8">
                  <c:v>21.114388050978324</c:v>
                </c:pt>
                <c:pt idx="9">
                  <c:v>21.114388050978324</c:v>
                </c:pt>
                <c:pt idx="10">
                  <c:v>21.114388050978324</c:v>
                </c:pt>
                <c:pt idx="11">
                  <c:v>21.114388050978324</c:v>
                </c:pt>
                <c:pt idx="12">
                  <c:v>21.114388050978324</c:v>
                </c:pt>
                <c:pt idx="13">
                  <c:v>21.114388050978324</c:v>
                </c:pt>
                <c:pt idx="14">
                  <c:v>21.114388050978324</c:v>
                </c:pt>
                <c:pt idx="15">
                  <c:v>21.114388050978324</c:v>
                </c:pt>
                <c:pt idx="16">
                  <c:v>21.114388050978324</c:v>
                </c:pt>
                <c:pt idx="17">
                  <c:v>21.114388050978324</c:v>
                </c:pt>
                <c:pt idx="18">
                  <c:v>21.114388050978324</c:v>
                </c:pt>
                <c:pt idx="19">
                  <c:v>21.114388050978324</c:v>
                </c:pt>
                <c:pt idx="20">
                  <c:v>21.114388050978324</c:v>
                </c:pt>
                <c:pt idx="21">
                  <c:v>21.114388050978324</c:v>
                </c:pt>
                <c:pt idx="22">
                  <c:v>21.114388050978324</c:v>
                </c:pt>
                <c:pt idx="23">
                  <c:v>21.114388050978324</c:v>
                </c:pt>
                <c:pt idx="24">
                  <c:v>21.114388050978324</c:v>
                </c:pt>
                <c:pt idx="25">
                  <c:v>21.114388050978324</c:v>
                </c:pt>
                <c:pt idx="26">
                  <c:v>21.114388050978324</c:v>
                </c:pt>
                <c:pt idx="27">
                  <c:v>21.114388050978324</c:v>
                </c:pt>
                <c:pt idx="28">
                  <c:v>21.114388050978324</c:v>
                </c:pt>
                <c:pt idx="29">
                  <c:v>21.114388050978324</c:v>
                </c:pt>
                <c:pt idx="30">
                  <c:v>21.114388050978324</c:v>
                </c:pt>
                <c:pt idx="31">
                  <c:v>21.114388050978324</c:v>
                </c:pt>
                <c:pt idx="32">
                  <c:v>21.114388050978324</c:v>
                </c:pt>
                <c:pt idx="33">
                  <c:v>21.114388050978324</c:v>
                </c:pt>
                <c:pt idx="34">
                  <c:v>21.114388050978324</c:v>
                </c:pt>
                <c:pt idx="35">
                  <c:v>21.114388050978324</c:v>
                </c:pt>
                <c:pt idx="36">
                  <c:v>21.114388050978324</c:v>
                </c:pt>
                <c:pt idx="37">
                  <c:v>21.114388050978324</c:v>
                </c:pt>
                <c:pt idx="38">
                  <c:v>21.114388050978324</c:v>
                </c:pt>
                <c:pt idx="39">
                  <c:v>21.114388050978324</c:v>
                </c:pt>
                <c:pt idx="40">
                  <c:v>21.114388050978324</c:v>
                </c:pt>
                <c:pt idx="41">
                  <c:v>21.114388050978324</c:v>
                </c:pt>
                <c:pt idx="42">
                  <c:v>21.114388050978324</c:v>
                </c:pt>
                <c:pt idx="43">
                  <c:v>21.114388050978324</c:v>
                </c:pt>
                <c:pt idx="44">
                  <c:v>21.114388050978324</c:v>
                </c:pt>
                <c:pt idx="45">
                  <c:v>21.114388050978324</c:v>
                </c:pt>
                <c:pt idx="46">
                  <c:v>21.114388050978324</c:v>
                </c:pt>
                <c:pt idx="47">
                  <c:v>21.114388050978324</c:v>
                </c:pt>
                <c:pt idx="48">
                  <c:v>21.114388050978324</c:v>
                </c:pt>
                <c:pt idx="49">
                  <c:v>21.114388050978324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C-4395-B209-DD391361F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3247104"/>
        <c:axId val="-1933250368"/>
      </c:lineChart>
      <c:catAx>
        <c:axId val="-193324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-1933250368"/>
        <c:crosses val="autoZero"/>
        <c:auto val="1"/>
        <c:lblAlgn val="ctr"/>
        <c:lblOffset val="100"/>
        <c:noMultiLvlLbl val="0"/>
      </c:catAx>
      <c:valAx>
        <c:axId val="-1933250368"/>
        <c:scaling>
          <c:orientation val="minMax"/>
        </c:scaling>
        <c:delete val="0"/>
        <c:axPos val="l"/>
        <c:majorGridlines/>
        <c:numFmt formatCode="0.000_ " sourceLinked="1"/>
        <c:majorTickMark val="out"/>
        <c:minorTickMark val="none"/>
        <c:tickLblPos val="nextTo"/>
        <c:crossAx val="-193324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657224</xdr:colOff>
      <xdr:row>39</xdr:row>
      <xdr:rowOff>203200</xdr:rowOff>
    </xdr:from>
    <xdr:to>
      <xdr:col>20</xdr:col>
      <xdr:colOff>533399</xdr:colOff>
      <xdr:row>52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111124</xdr:colOff>
      <xdr:row>35</xdr:row>
      <xdr:rowOff>127000</xdr:rowOff>
    </xdr:from>
    <xdr:to>
      <xdr:col>20</xdr:col>
      <xdr:colOff>88899</xdr:colOff>
      <xdr:row>48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4"/>
  <sheetViews>
    <sheetView tabSelected="1" zoomScale="115" zoomScaleNormal="115" workbookViewId="0">
      <selection activeCell="B4" sqref="B4:C54"/>
    </sheetView>
  </sheetViews>
  <sheetFormatPr defaultRowHeight="15"/>
  <cols>
    <col min="3" max="3" width="11.25" customWidth="1"/>
    <col min="4" max="8" width="8.625" customWidth="1"/>
  </cols>
  <sheetData>
    <row r="2" spans="1:11">
      <c r="A2" t="s">
        <v>0</v>
      </c>
    </row>
    <row r="3" spans="1:11">
      <c r="E3" t="s">
        <v>1</v>
      </c>
      <c r="I3" t="s">
        <v>2</v>
      </c>
    </row>
    <row r="4" spans="1:11">
      <c r="B4" s="1" t="s">
        <v>3</v>
      </c>
      <c r="C4" s="2" t="s">
        <v>4</v>
      </c>
      <c r="D4" s="4"/>
      <c r="E4" s="2" t="s">
        <v>5</v>
      </c>
      <c r="F4" s="2" t="s">
        <v>6</v>
      </c>
      <c r="G4" s="2" t="s">
        <v>7</v>
      </c>
      <c r="I4" s="80" t="s">
        <v>8</v>
      </c>
      <c r="J4" s="81"/>
      <c r="K4" s="1">
        <v>1E-3</v>
      </c>
    </row>
    <row r="5" spans="1:11">
      <c r="B5" s="1">
        <v>1</v>
      </c>
      <c r="C5" s="3">
        <v>12.3057</v>
      </c>
      <c r="D5" s="5"/>
      <c r="E5" s="3">
        <f t="shared" ref="E5:E36" si="0">$K$7</f>
        <v>12.305</v>
      </c>
      <c r="F5" s="3">
        <f t="shared" ref="F5:F36" si="1">E5+$J$14*0.1</f>
        <v>12.31</v>
      </c>
      <c r="G5" s="3">
        <f t="shared" ref="G5:G36" si="2">E5-$J$14*0.1</f>
        <v>12.299999999999999</v>
      </c>
      <c r="I5" s="30" t="s">
        <v>9</v>
      </c>
      <c r="J5" s="1" t="s">
        <v>10</v>
      </c>
      <c r="K5" s="1">
        <v>12.33</v>
      </c>
    </row>
    <row r="6" spans="1:11">
      <c r="B6" s="1">
        <v>2</v>
      </c>
      <c r="C6" s="3">
        <v>12.3009</v>
      </c>
      <c r="D6" s="5"/>
      <c r="E6" s="3">
        <f t="shared" si="0"/>
        <v>12.305</v>
      </c>
      <c r="F6" s="3">
        <f t="shared" si="1"/>
        <v>12.31</v>
      </c>
      <c r="G6" s="3">
        <f t="shared" si="2"/>
        <v>12.299999999999999</v>
      </c>
      <c r="I6" s="31"/>
      <c r="J6" s="1" t="s">
        <v>11</v>
      </c>
      <c r="K6" s="1">
        <v>12.28</v>
      </c>
    </row>
    <row r="7" spans="1:11">
      <c r="B7" s="1">
        <v>3</v>
      </c>
      <c r="C7" s="3">
        <v>12.303699999999999</v>
      </c>
      <c r="D7" s="5"/>
      <c r="E7" s="3">
        <f t="shared" si="0"/>
        <v>12.305</v>
      </c>
      <c r="F7" s="3">
        <f t="shared" si="1"/>
        <v>12.31</v>
      </c>
      <c r="G7" s="3">
        <f t="shared" si="2"/>
        <v>12.299999999999999</v>
      </c>
      <c r="I7" s="82" t="s">
        <v>12</v>
      </c>
      <c r="J7" s="82"/>
      <c r="K7" s="1">
        <v>12.305</v>
      </c>
    </row>
    <row r="8" spans="1:11">
      <c r="B8" s="1">
        <v>4</v>
      </c>
      <c r="C8" s="3">
        <v>12.297499999999999</v>
      </c>
      <c r="D8" s="5"/>
      <c r="E8" s="3">
        <f t="shared" si="0"/>
        <v>12.305</v>
      </c>
      <c r="F8" s="3">
        <f t="shared" si="1"/>
        <v>12.31</v>
      </c>
      <c r="G8" s="3">
        <f t="shared" si="2"/>
        <v>12.299999999999999</v>
      </c>
    </row>
    <row r="9" spans="1:11">
      <c r="B9" s="1">
        <v>5</v>
      </c>
      <c r="C9" s="3">
        <v>12.3056</v>
      </c>
      <c r="D9" s="5"/>
      <c r="E9" s="3">
        <f t="shared" si="0"/>
        <v>12.305</v>
      </c>
      <c r="F9" s="3">
        <f t="shared" si="1"/>
        <v>12.31</v>
      </c>
      <c r="G9" s="3">
        <f t="shared" si="2"/>
        <v>12.299999999999999</v>
      </c>
      <c r="I9" t="s">
        <v>13</v>
      </c>
    </row>
    <row r="10" spans="1:11">
      <c r="B10" s="1">
        <v>6</v>
      </c>
      <c r="C10" s="3">
        <v>12.3033</v>
      </c>
      <c r="D10" s="5"/>
      <c r="E10" s="3">
        <f t="shared" si="0"/>
        <v>12.305</v>
      </c>
      <c r="F10" s="3">
        <f t="shared" si="1"/>
        <v>12.31</v>
      </c>
      <c r="G10" s="3">
        <f t="shared" si="2"/>
        <v>12.299999999999999</v>
      </c>
      <c r="I10" s="1" t="s">
        <v>14</v>
      </c>
      <c r="J10" s="29">
        <f>COUNT(C5:C54)</f>
        <v>50</v>
      </c>
    </row>
    <row r="11" spans="1:11">
      <c r="B11" s="1">
        <v>7</v>
      </c>
      <c r="C11" s="3">
        <v>12.303000000000001</v>
      </c>
      <c r="D11" s="5"/>
      <c r="E11" s="3">
        <f t="shared" si="0"/>
        <v>12.305</v>
      </c>
      <c r="F11" s="3">
        <f t="shared" si="1"/>
        <v>12.31</v>
      </c>
      <c r="G11" s="3">
        <f t="shared" si="2"/>
        <v>12.299999999999999</v>
      </c>
      <c r="I11" s="1" t="s">
        <v>15</v>
      </c>
      <c r="J11" s="29">
        <f>AVERAGE(C5:C54)</f>
        <v>12.302686</v>
      </c>
    </row>
    <row r="12" spans="1:11">
      <c r="B12" s="1">
        <v>8</v>
      </c>
      <c r="C12" s="3">
        <v>12.2965</v>
      </c>
      <c r="D12" s="5"/>
      <c r="E12" s="3">
        <f t="shared" si="0"/>
        <v>12.305</v>
      </c>
      <c r="F12" s="3">
        <f t="shared" si="1"/>
        <v>12.31</v>
      </c>
      <c r="G12" s="3">
        <f t="shared" si="2"/>
        <v>12.299999999999999</v>
      </c>
      <c r="I12" s="1" t="s">
        <v>16</v>
      </c>
      <c r="J12" s="29">
        <f>STDEV(C5:C54)</f>
        <v>3.630539960965031E-3</v>
      </c>
    </row>
    <row r="13" spans="1:11">
      <c r="B13" s="1">
        <v>9</v>
      </c>
      <c r="C13" s="3">
        <v>12.2986</v>
      </c>
      <c r="D13" s="5"/>
      <c r="E13" s="3">
        <f t="shared" si="0"/>
        <v>12.305</v>
      </c>
      <c r="F13" s="3">
        <f t="shared" si="1"/>
        <v>12.31</v>
      </c>
      <c r="G13" s="3">
        <f t="shared" si="2"/>
        <v>12.299999999999999</v>
      </c>
      <c r="I13" s="1" t="s">
        <v>17</v>
      </c>
      <c r="J13" s="29">
        <f>K7-J11</f>
        <v>2.3140000000001493E-3</v>
      </c>
    </row>
    <row r="14" spans="1:11">
      <c r="B14" s="1">
        <v>10</v>
      </c>
      <c r="C14" s="3">
        <v>12.303100000000001</v>
      </c>
      <c r="D14" s="5"/>
      <c r="E14" s="3">
        <f t="shared" si="0"/>
        <v>12.305</v>
      </c>
      <c r="F14" s="3">
        <f t="shared" si="1"/>
        <v>12.31</v>
      </c>
      <c r="G14" s="3">
        <f t="shared" si="2"/>
        <v>12.299999999999999</v>
      </c>
      <c r="I14" s="1" t="s">
        <v>18</v>
      </c>
      <c r="J14" s="29">
        <f>K5-K6</f>
        <v>5.0000000000000711E-2</v>
      </c>
    </row>
    <row r="15" spans="1:11">
      <c r="B15" s="1">
        <v>11</v>
      </c>
      <c r="C15" s="3">
        <v>12.305099999999999</v>
      </c>
      <c r="D15" s="5"/>
      <c r="E15" s="3">
        <f t="shared" si="0"/>
        <v>12.305</v>
      </c>
      <c r="F15" s="3">
        <f t="shared" si="1"/>
        <v>12.31</v>
      </c>
      <c r="G15" s="3">
        <f t="shared" si="2"/>
        <v>12.299999999999999</v>
      </c>
    </row>
    <row r="16" spans="1:11">
      <c r="B16" s="1">
        <v>12</v>
      </c>
      <c r="C16" s="3">
        <v>12.3056</v>
      </c>
      <c r="D16" s="5"/>
      <c r="E16" s="3">
        <f t="shared" si="0"/>
        <v>12.305</v>
      </c>
      <c r="F16" s="3">
        <f t="shared" si="1"/>
        <v>12.31</v>
      </c>
      <c r="G16" s="3">
        <f t="shared" si="2"/>
        <v>12.299999999999999</v>
      </c>
      <c r="I16" t="s">
        <v>19</v>
      </c>
    </row>
    <row r="17" spans="2:16">
      <c r="B17" s="1">
        <v>13</v>
      </c>
      <c r="C17" s="3">
        <v>12.303599999999999</v>
      </c>
      <c r="D17" s="5"/>
      <c r="E17" s="3">
        <f t="shared" si="0"/>
        <v>12.305</v>
      </c>
      <c r="F17" s="3">
        <f t="shared" si="1"/>
        <v>12.31</v>
      </c>
      <c r="G17" s="3">
        <f t="shared" si="2"/>
        <v>12.299999999999999</v>
      </c>
      <c r="I17" t="s">
        <v>20</v>
      </c>
      <c r="L17" t="str">
        <f>IF(N18&gt;5,"불량","양호")</f>
        <v>양호</v>
      </c>
    </row>
    <row r="18" spans="2:16">
      <c r="B18" s="1">
        <v>14</v>
      </c>
      <c r="C18" s="3">
        <v>12.309100000000001</v>
      </c>
      <c r="D18" s="5"/>
      <c r="E18" s="3">
        <f t="shared" si="0"/>
        <v>12.305</v>
      </c>
      <c r="F18" s="3">
        <f t="shared" si="1"/>
        <v>12.31</v>
      </c>
      <c r="G18" s="3">
        <f t="shared" si="2"/>
        <v>12.299999999999999</v>
      </c>
      <c r="J18" t="s">
        <v>21</v>
      </c>
      <c r="K18" t="s">
        <v>22</v>
      </c>
      <c r="N18">
        <f>K4/J14*100</f>
        <v>1.9999999999999716</v>
      </c>
      <c r="O18" t="s">
        <v>23</v>
      </c>
      <c r="P18" t="s">
        <v>24</v>
      </c>
    </row>
    <row r="19" spans="2:16">
      <c r="B19" s="1">
        <v>15</v>
      </c>
      <c r="C19" s="3">
        <v>12.302899999999999</v>
      </c>
      <c r="D19" s="5"/>
      <c r="E19" s="3">
        <f t="shared" si="0"/>
        <v>12.305</v>
      </c>
      <c r="F19" s="3">
        <f t="shared" si="1"/>
        <v>12.31</v>
      </c>
      <c r="G19" s="3">
        <f t="shared" si="2"/>
        <v>12.299999999999999</v>
      </c>
    </row>
    <row r="20" spans="2:16">
      <c r="B20" s="1">
        <v>16</v>
      </c>
      <c r="C20" s="3">
        <v>12.306100000000001</v>
      </c>
      <c r="D20" s="5"/>
      <c r="E20" s="3">
        <f t="shared" si="0"/>
        <v>12.305</v>
      </c>
      <c r="F20" s="3">
        <f t="shared" si="1"/>
        <v>12.31</v>
      </c>
      <c r="G20" s="3">
        <f t="shared" si="2"/>
        <v>12.299999999999999</v>
      </c>
      <c r="I20" t="s">
        <v>25</v>
      </c>
      <c r="L20" t="str">
        <f>IF(N21&gt;1.33,"합격","불합격")</f>
        <v>불합격</v>
      </c>
    </row>
    <row r="21" spans="2:16">
      <c r="B21" s="1">
        <v>17</v>
      </c>
      <c r="C21" s="3">
        <v>12.297700000000001</v>
      </c>
      <c r="D21" s="5"/>
      <c r="E21" s="3">
        <f t="shared" si="0"/>
        <v>12.305</v>
      </c>
      <c r="F21" s="3">
        <f t="shared" si="1"/>
        <v>12.31</v>
      </c>
      <c r="G21" s="3">
        <f t="shared" si="2"/>
        <v>12.299999999999999</v>
      </c>
      <c r="J21" t="s">
        <v>26</v>
      </c>
      <c r="K21" t="s">
        <v>27</v>
      </c>
      <c r="N21">
        <f>0.2*J14/(6*J12)</f>
        <v>0.45906853652250534</v>
      </c>
      <c r="P21" t="s">
        <v>28</v>
      </c>
    </row>
    <row r="22" spans="2:16">
      <c r="B22" s="1">
        <v>18</v>
      </c>
      <c r="C22" s="3">
        <v>12.301299999999999</v>
      </c>
      <c r="D22" s="5"/>
      <c r="E22" s="3">
        <f t="shared" si="0"/>
        <v>12.305</v>
      </c>
      <c r="F22" s="3">
        <f t="shared" si="1"/>
        <v>12.31</v>
      </c>
      <c r="G22" s="3">
        <f t="shared" si="2"/>
        <v>12.299999999999999</v>
      </c>
      <c r="J22" t="s">
        <v>29</v>
      </c>
      <c r="K22" t="s">
        <v>30</v>
      </c>
      <c r="N22">
        <f>(J14*0.1-J13)/(3*J12)</f>
        <v>0.2466116178198792</v>
      </c>
      <c r="P22" t="s">
        <v>28</v>
      </c>
    </row>
    <row r="23" spans="2:16">
      <c r="B23" s="1">
        <v>19</v>
      </c>
      <c r="C23" s="3">
        <v>12.3081</v>
      </c>
      <c r="D23" s="5"/>
      <c r="E23" s="3">
        <f t="shared" si="0"/>
        <v>12.305</v>
      </c>
      <c r="F23" s="3">
        <f t="shared" si="1"/>
        <v>12.31</v>
      </c>
      <c r="G23" s="3">
        <f t="shared" si="2"/>
        <v>12.299999999999999</v>
      </c>
    </row>
    <row r="24" spans="2:16">
      <c r="B24" s="1">
        <v>20</v>
      </c>
      <c r="C24" s="3">
        <v>12.2944</v>
      </c>
      <c r="D24" s="5"/>
      <c r="E24" s="3">
        <f t="shared" si="0"/>
        <v>12.305</v>
      </c>
      <c r="F24" s="3">
        <f t="shared" si="1"/>
        <v>12.31</v>
      </c>
      <c r="G24" s="3">
        <f t="shared" si="2"/>
        <v>12.299999999999999</v>
      </c>
      <c r="I24" t="s">
        <v>31</v>
      </c>
    </row>
    <row r="25" spans="2:16">
      <c r="B25" s="1">
        <v>21</v>
      </c>
      <c r="C25" s="3">
        <v>12.304600000000001</v>
      </c>
      <c r="D25" s="5"/>
      <c r="E25" s="3">
        <f t="shared" si="0"/>
        <v>12.305</v>
      </c>
      <c r="F25" s="3">
        <f t="shared" si="1"/>
        <v>12.31</v>
      </c>
      <c r="G25" s="3">
        <f t="shared" si="2"/>
        <v>12.299999999999999</v>
      </c>
      <c r="J25" t="s">
        <v>32</v>
      </c>
      <c r="L25" t="str">
        <f>IF(N26&lt;30,"합격","불합격")</f>
        <v>불합격</v>
      </c>
    </row>
    <row r="26" spans="2:16">
      <c r="B26" s="1">
        <v>22</v>
      </c>
      <c r="C26" s="3">
        <v>12.301399999999999</v>
      </c>
      <c r="D26" s="5"/>
      <c r="E26" s="3">
        <f t="shared" si="0"/>
        <v>12.305</v>
      </c>
      <c r="F26" s="3">
        <f t="shared" si="1"/>
        <v>12.31</v>
      </c>
      <c r="G26" s="3">
        <f t="shared" si="2"/>
        <v>12.299999999999999</v>
      </c>
      <c r="J26" t="s">
        <v>33</v>
      </c>
      <c r="K26" t="s">
        <v>34</v>
      </c>
      <c r="N26">
        <f>6*J12/J14*100</f>
        <v>43.566479531579752</v>
      </c>
      <c r="O26" t="s">
        <v>23</v>
      </c>
      <c r="P26" t="s">
        <v>35</v>
      </c>
    </row>
    <row r="27" spans="2:16">
      <c r="B27" s="1">
        <v>23</v>
      </c>
      <c r="C27" s="3">
        <v>12.304500000000001</v>
      </c>
      <c r="D27" s="5"/>
      <c r="E27" s="3">
        <f t="shared" si="0"/>
        <v>12.305</v>
      </c>
      <c r="F27" s="3">
        <f t="shared" si="1"/>
        <v>12.31</v>
      </c>
      <c r="G27" s="3">
        <f t="shared" si="2"/>
        <v>12.299999999999999</v>
      </c>
    </row>
    <row r="28" spans="2:16">
      <c r="B28" s="1">
        <v>24</v>
      </c>
      <c r="C28" s="3">
        <v>12.301500000000001</v>
      </c>
      <c r="D28" s="5"/>
      <c r="E28" s="3">
        <f t="shared" si="0"/>
        <v>12.305</v>
      </c>
      <c r="F28" s="3">
        <f t="shared" si="1"/>
        <v>12.31</v>
      </c>
      <c r="G28" s="3">
        <f t="shared" si="2"/>
        <v>12.299999999999999</v>
      </c>
      <c r="J28" t="s">
        <v>36</v>
      </c>
      <c r="L28" t="str">
        <f>IF(O30&lt;O32,"편의 없음","편의 있음")</f>
        <v>편의 있음</v>
      </c>
    </row>
    <row r="29" spans="2:16">
      <c r="B29" s="1">
        <v>25</v>
      </c>
      <c r="C29" s="3">
        <v>12.305400000000001</v>
      </c>
      <c r="D29" s="5"/>
      <c r="E29" s="3">
        <f t="shared" si="0"/>
        <v>12.305</v>
      </c>
      <c r="F29" s="3">
        <f t="shared" si="1"/>
        <v>12.31</v>
      </c>
      <c r="G29" s="3">
        <f t="shared" si="2"/>
        <v>12.299999999999999</v>
      </c>
      <c r="K29" t="s">
        <v>37</v>
      </c>
    </row>
    <row r="30" spans="2:16">
      <c r="B30" s="1">
        <v>26</v>
      </c>
      <c r="C30" s="3">
        <v>12.295299999999999</v>
      </c>
      <c r="D30" s="5"/>
      <c r="E30" s="3">
        <f t="shared" si="0"/>
        <v>12.305</v>
      </c>
      <c r="F30" s="3">
        <f t="shared" si="1"/>
        <v>12.31</v>
      </c>
      <c r="G30" s="3">
        <f t="shared" si="2"/>
        <v>12.299999999999999</v>
      </c>
      <c r="K30" t="s">
        <v>38</v>
      </c>
      <c r="M30" t="s">
        <v>39</v>
      </c>
      <c r="O30">
        <f>J13/N31</f>
        <v>4.5068918377387801</v>
      </c>
    </row>
    <row r="31" spans="2:16">
      <c r="B31" s="1">
        <v>27</v>
      </c>
      <c r="C31" s="3">
        <v>12.295400000000001</v>
      </c>
      <c r="D31" s="5"/>
      <c r="E31" s="3">
        <f t="shared" si="0"/>
        <v>12.305</v>
      </c>
      <c r="F31" s="3">
        <f t="shared" si="1"/>
        <v>12.31</v>
      </c>
      <c r="G31" s="3">
        <f t="shared" si="2"/>
        <v>12.299999999999999</v>
      </c>
      <c r="L31" t="s">
        <v>40</v>
      </c>
      <c r="N31">
        <f>J12/SQRT(J10)</f>
        <v>5.1343588515342334E-4</v>
      </c>
    </row>
    <row r="32" spans="2:16">
      <c r="B32" s="1">
        <v>28</v>
      </c>
      <c r="C32" s="3">
        <v>12.3047</v>
      </c>
      <c r="D32" s="5"/>
      <c r="E32" s="3">
        <f t="shared" si="0"/>
        <v>12.305</v>
      </c>
      <c r="F32" s="3">
        <f t="shared" si="1"/>
        <v>12.31</v>
      </c>
      <c r="G32" s="3">
        <f t="shared" si="2"/>
        <v>12.299999999999999</v>
      </c>
      <c r="L32" t="s">
        <v>41</v>
      </c>
      <c r="M32" t="s">
        <v>42</v>
      </c>
      <c r="O32">
        <f>_xlfn.T.INV(0.975,49)</f>
        <v>2.0095752371292388</v>
      </c>
    </row>
    <row r="33" spans="2:12">
      <c r="B33" s="1">
        <v>29</v>
      </c>
      <c r="C33" s="3">
        <v>12.3035</v>
      </c>
      <c r="D33" s="5"/>
      <c r="E33" s="3">
        <f t="shared" si="0"/>
        <v>12.305</v>
      </c>
      <c r="F33" s="3">
        <f t="shared" si="1"/>
        <v>12.31</v>
      </c>
      <c r="G33" s="3">
        <f t="shared" si="2"/>
        <v>12.299999999999999</v>
      </c>
    </row>
    <row r="34" spans="2:12">
      <c r="B34" s="1">
        <v>30</v>
      </c>
      <c r="C34" s="3">
        <v>12.3003</v>
      </c>
      <c r="D34" s="5"/>
      <c r="E34" s="3">
        <f t="shared" si="0"/>
        <v>12.305</v>
      </c>
      <c r="F34" s="3">
        <f t="shared" si="1"/>
        <v>12.31</v>
      </c>
      <c r="G34" s="3">
        <f t="shared" si="2"/>
        <v>12.299999999999999</v>
      </c>
      <c r="J34" t="s">
        <v>43</v>
      </c>
      <c r="K34" s="8" t="s">
        <v>44</v>
      </c>
      <c r="L34" s="8" t="s">
        <v>45</v>
      </c>
    </row>
    <row r="35" spans="2:12">
      <c r="B35" s="1">
        <v>31</v>
      </c>
      <c r="C35" s="3">
        <v>12.304399999999999</v>
      </c>
      <c r="D35" s="5"/>
      <c r="E35" s="3">
        <f t="shared" si="0"/>
        <v>12.305</v>
      </c>
      <c r="F35" s="3">
        <f t="shared" si="1"/>
        <v>12.31</v>
      </c>
      <c r="G35" s="3">
        <f t="shared" si="2"/>
        <v>12.299999999999999</v>
      </c>
      <c r="K35" s="9" t="str">
        <f>L25</f>
        <v>불합격</v>
      </c>
      <c r="L35" s="9" t="str">
        <f>L28</f>
        <v>편의 있음</v>
      </c>
    </row>
    <row r="36" spans="2:12">
      <c r="B36" s="1">
        <v>32</v>
      </c>
      <c r="C36" s="3">
        <v>12.302300000000001</v>
      </c>
      <c r="D36" s="5"/>
      <c r="E36" s="3">
        <f t="shared" si="0"/>
        <v>12.305</v>
      </c>
      <c r="F36" s="3">
        <f t="shared" si="1"/>
        <v>12.31</v>
      </c>
      <c r="G36" s="3">
        <f t="shared" si="2"/>
        <v>12.299999999999999</v>
      </c>
    </row>
    <row r="37" spans="2:12">
      <c r="B37" s="1">
        <v>33</v>
      </c>
      <c r="C37" s="3">
        <v>12.3095</v>
      </c>
      <c r="D37" s="5"/>
      <c r="E37" s="3">
        <f t="shared" ref="E37:E54" si="3">$K$7</f>
        <v>12.305</v>
      </c>
      <c r="F37" s="3">
        <f t="shared" ref="F37:F54" si="4">E37+$J$14*0.1</f>
        <v>12.31</v>
      </c>
      <c r="G37" s="3">
        <f t="shared" ref="G37:G54" si="5">E37-$J$14*0.1</f>
        <v>12.299999999999999</v>
      </c>
      <c r="I37" t="s">
        <v>46</v>
      </c>
    </row>
    <row r="38" spans="2:12">
      <c r="B38" s="1">
        <v>34</v>
      </c>
      <c r="C38" s="3">
        <v>12.299799999999999</v>
      </c>
      <c r="D38" s="5"/>
      <c r="E38" s="3">
        <f t="shared" si="3"/>
        <v>12.305</v>
      </c>
      <c r="F38" s="3">
        <f t="shared" si="4"/>
        <v>12.31</v>
      </c>
      <c r="G38" s="3">
        <f t="shared" si="5"/>
        <v>12.299999999999999</v>
      </c>
    </row>
    <row r="39" spans="2:12">
      <c r="B39" s="1">
        <v>35</v>
      </c>
      <c r="C39" s="3">
        <v>12.3034</v>
      </c>
      <c r="D39" s="5"/>
      <c r="E39" s="3">
        <f t="shared" si="3"/>
        <v>12.305</v>
      </c>
      <c r="F39" s="3">
        <f t="shared" si="4"/>
        <v>12.31</v>
      </c>
      <c r="G39" s="3">
        <f t="shared" si="5"/>
        <v>12.299999999999999</v>
      </c>
    </row>
    <row r="40" spans="2:12">
      <c r="B40" s="1">
        <v>36</v>
      </c>
      <c r="C40" s="3">
        <v>12.3026</v>
      </c>
      <c r="D40" s="5"/>
      <c r="E40" s="3">
        <f t="shared" si="3"/>
        <v>12.305</v>
      </c>
      <c r="F40" s="3">
        <f t="shared" si="4"/>
        <v>12.31</v>
      </c>
      <c r="G40" s="3">
        <f t="shared" si="5"/>
        <v>12.299999999999999</v>
      </c>
    </row>
    <row r="41" spans="2:12">
      <c r="B41" s="1">
        <v>37</v>
      </c>
      <c r="C41" s="3">
        <v>12.302099999999999</v>
      </c>
      <c r="D41" s="5"/>
      <c r="E41" s="3">
        <f t="shared" si="3"/>
        <v>12.305</v>
      </c>
      <c r="F41" s="3">
        <f t="shared" si="4"/>
        <v>12.31</v>
      </c>
      <c r="G41" s="3">
        <f t="shared" si="5"/>
        <v>12.299999999999999</v>
      </c>
    </row>
    <row r="42" spans="2:12">
      <c r="B42" s="1">
        <v>38</v>
      </c>
      <c r="C42" s="3">
        <v>12.306100000000001</v>
      </c>
      <c r="D42" s="5"/>
      <c r="E42" s="3">
        <f t="shared" si="3"/>
        <v>12.305</v>
      </c>
      <c r="F42" s="3">
        <f t="shared" si="4"/>
        <v>12.31</v>
      </c>
      <c r="G42" s="3">
        <f t="shared" si="5"/>
        <v>12.299999999999999</v>
      </c>
    </row>
    <row r="43" spans="2:12">
      <c r="B43" s="1">
        <v>39</v>
      </c>
      <c r="C43" s="3">
        <v>12.304500000000001</v>
      </c>
      <c r="D43" s="5"/>
      <c r="E43" s="3">
        <f t="shared" si="3"/>
        <v>12.305</v>
      </c>
      <c r="F43" s="3">
        <f t="shared" si="4"/>
        <v>12.31</v>
      </c>
      <c r="G43" s="3">
        <f t="shared" si="5"/>
        <v>12.299999999999999</v>
      </c>
    </row>
    <row r="44" spans="2:12">
      <c r="B44" s="1">
        <v>40</v>
      </c>
      <c r="C44" s="3">
        <v>12.302099999999999</v>
      </c>
      <c r="D44" s="5"/>
      <c r="E44" s="3">
        <f t="shared" si="3"/>
        <v>12.305</v>
      </c>
      <c r="F44" s="3">
        <f t="shared" si="4"/>
        <v>12.31</v>
      </c>
      <c r="G44" s="3">
        <f t="shared" si="5"/>
        <v>12.299999999999999</v>
      </c>
    </row>
    <row r="45" spans="2:12">
      <c r="B45" s="1">
        <v>41</v>
      </c>
      <c r="C45" s="3">
        <v>12.303699999999999</v>
      </c>
      <c r="D45" s="5"/>
      <c r="E45" s="3">
        <f t="shared" si="3"/>
        <v>12.305</v>
      </c>
      <c r="F45" s="3">
        <f t="shared" si="4"/>
        <v>12.31</v>
      </c>
      <c r="G45" s="3">
        <f t="shared" si="5"/>
        <v>12.299999999999999</v>
      </c>
    </row>
    <row r="46" spans="2:12">
      <c r="B46" s="1">
        <v>42</v>
      </c>
      <c r="C46" s="3">
        <v>12.2997</v>
      </c>
      <c r="D46" s="5"/>
      <c r="E46" s="3">
        <f t="shared" si="3"/>
        <v>12.305</v>
      </c>
      <c r="F46" s="3">
        <f t="shared" si="4"/>
        <v>12.31</v>
      </c>
      <c r="G46" s="3">
        <f t="shared" si="5"/>
        <v>12.299999999999999</v>
      </c>
    </row>
    <row r="47" spans="2:12">
      <c r="B47" s="1">
        <v>43</v>
      </c>
      <c r="C47" s="3">
        <v>12.303800000000001</v>
      </c>
      <c r="D47" s="5"/>
      <c r="E47" s="3">
        <f t="shared" si="3"/>
        <v>12.305</v>
      </c>
      <c r="F47" s="3">
        <f t="shared" si="4"/>
        <v>12.31</v>
      </c>
      <c r="G47" s="3">
        <f t="shared" si="5"/>
        <v>12.299999999999999</v>
      </c>
    </row>
    <row r="48" spans="2:12">
      <c r="B48" s="1">
        <v>44</v>
      </c>
      <c r="C48" s="3">
        <v>12.307600000000001</v>
      </c>
      <c r="D48" s="5"/>
      <c r="E48" s="3">
        <f t="shared" si="3"/>
        <v>12.305</v>
      </c>
      <c r="F48" s="3">
        <f t="shared" si="4"/>
        <v>12.31</v>
      </c>
      <c r="G48" s="3">
        <f t="shared" si="5"/>
        <v>12.299999999999999</v>
      </c>
    </row>
    <row r="49" spans="2:7">
      <c r="B49" s="1">
        <v>45</v>
      </c>
      <c r="C49" s="3">
        <v>12.3063</v>
      </c>
      <c r="D49" s="5"/>
      <c r="E49" s="3">
        <f t="shared" si="3"/>
        <v>12.305</v>
      </c>
      <c r="F49" s="3">
        <f t="shared" si="4"/>
        <v>12.31</v>
      </c>
      <c r="G49" s="3">
        <f t="shared" si="5"/>
        <v>12.299999999999999</v>
      </c>
    </row>
    <row r="50" spans="2:7">
      <c r="B50" s="1">
        <v>46</v>
      </c>
      <c r="C50" s="3">
        <v>12.3018</v>
      </c>
      <c r="D50" s="5"/>
      <c r="E50" s="3">
        <f t="shared" si="3"/>
        <v>12.305</v>
      </c>
      <c r="F50" s="3">
        <f t="shared" si="4"/>
        <v>12.31</v>
      </c>
      <c r="G50" s="3">
        <f t="shared" si="5"/>
        <v>12.299999999999999</v>
      </c>
    </row>
    <row r="51" spans="2:7">
      <c r="B51" s="1">
        <v>47</v>
      </c>
      <c r="C51" s="3">
        <v>12.2981</v>
      </c>
      <c r="D51" s="5"/>
      <c r="E51" s="3">
        <f t="shared" si="3"/>
        <v>12.305</v>
      </c>
      <c r="F51" s="3">
        <f t="shared" si="4"/>
        <v>12.31</v>
      </c>
      <c r="G51" s="3">
        <f t="shared" si="5"/>
        <v>12.299999999999999</v>
      </c>
    </row>
    <row r="52" spans="2:7">
      <c r="B52" s="1">
        <v>48</v>
      </c>
      <c r="C52" s="3">
        <v>12.2965</v>
      </c>
      <c r="D52" s="5"/>
      <c r="E52" s="3">
        <f t="shared" si="3"/>
        <v>12.305</v>
      </c>
      <c r="F52" s="3">
        <f t="shared" si="4"/>
        <v>12.31</v>
      </c>
      <c r="G52" s="3">
        <f t="shared" si="5"/>
        <v>12.299999999999999</v>
      </c>
    </row>
    <row r="53" spans="2:7">
      <c r="B53" s="1">
        <v>49</v>
      </c>
      <c r="C53" s="3">
        <v>12.308199999999999</v>
      </c>
      <c r="D53" s="5"/>
      <c r="E53" s="3">
        <f t="shared" si="3"/>
        <v>12.305</v>
      </c>
      <c r="F53" s="3">
        <f t="shared" si="4"/>
        <v>12.31</v>
      </c>
      <c r="G53" s="3">
        <f t="shared" si="5"/>
        <v>12.299999999999999</v>
      </c>
    </row>
    <row r="54" spans="2:7">
      <c r="B54" s="1">
        <v>50</v>
      </c>
      <c r="C54" s="3">
        <v>12.3034</v>
      </c>
      <c r="D54" s="5"/>
      <c r="E54" s="3">
        <f t="shared" si="3"/>
        <v>12.305</v>
      </c>
      <c r="F54" s="3">
        <f t="shared" si="4"/>
        <v>12.31</v>
      </c>
      <c r="G54" s="3">
        <f t="shared" si="5"/>
        <v>12.299999999999999</v>
      </c>
    </row>
  </sheetData>
  <mergeCells count="2">
    <mergeCell ref="I4:J4"/>
    <mergeCell ref="I7:J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topLeftCell="A18" zoomScaleNormal="100" workbookViewId="0">
      <selection activeCell="C40" sqref="B3:C53"/>
    </sheetView>
  </sheetViews>
  <sheetFormatPr defaultRowHeight="15"/>
  <sheetData>
    <row r="1" spans="1:12">
      <c r="A1" t="s">
        <v>47</v>
      </c>
    </row>
    <row r="2" spans="1:12">
      <c r="E2" t="s">
        <v>1</v>
      </c>
      <c r="I2" t="s">
        <v>48</v>
      </c>
    </row>
    <row r="3" spans="1:12">
      <c r="B3" s="1" t="s">
        <v>3</v>
      </c>
      <c r="C3" s="2" t="s">
        <v>4</v>
      </c>
      <c r="D3" s="4"/>
      <c r="E3" s="2" t="s">
        <v>5</v>
      </c>
      <c r="F3" s="2"/>
      <c r="G3" s="2" t="s">
        <v>7</v>
      </c>
      <c r="I3" t="s">
        <v>49</v>
      </c>
      <c r="K3">
        <v>1E-3</v>
      </c>
      <c r="L3" t="s">
        <v>50</v>
      </c>
    </row>
    <row r="4" spans="1:12">
      <c r="B4" s="1">
        <v>1</v>
      </c>
      <c r="C4" s="6">
        <v>21.67</v>
      </c>
      <c r="D4" s="5"/>
      <c r="E4" s="3">
        <f>$K$8</f>
        <v>22</v>
      </c>
      <c r="F4" s="3"/>
      <c r="G4" s="3">
        <f>$L$19</f>
        <v>21.114388050978324</v>
      </c>
      <c r="I4" t="s">
        <v>9</v>
      </c>
      <c r="J4" t="s">
        <v>51</v>
      </c>
      <c r="L4" t="s">
        <v>50</v>
      </c>
    </row>
    <row r="5" spans="1:12">
      <c r="B5" s="1">
        <v>2</v>
      </c>
      <c r="C5" s="6">
        <v>22.318000000000001</v>
      </c>
      <c r="D5" s="5"/>
      <c r="E5" s="3">
        <f t="shared" ref="E5:E53" si="0">$K$8</f>
        <v>22</v>
      </c>
      <c r="F5" s="3"/>
      <c r="G5" s="3">
        <f t="shared" ref="G5:G53" si="1">$L$19</f>
        <v>21.114388050978324</v>
      </c>
      <c r="J5" t="s">
        <v>52</v>
      </c>
      <c r="K5">
        <v>20</v>
      </c>
      <c r="L5" t="s">
        <v>50</v>
      </c>
    </row>
    <row r="6" spans="1:12">
      <c r="B6" s="1">
        <v>3</v>
      </c>
      <c r="C6" s="6">
        <v>22.094000000000001</v>
      </c>
      <c r="D6" s="5"/>
      <c r="E6" s="3">
        <f t="shared" si="0"/>
        <v>22</v>
      </c>
      <c r="F6" s="3"/>
      <c r="G6" s="3">
        <f t="shared" si="1"/>
        <v>21.114388050978324</v>
      </c>
      <c r="J6" t="s">
        <v>18</v>
      </c>
      <c r="L6" t="s">
        <v>50</v>
      </c>
    </row>
    <row r="7" spans="1:12">
      <c r="B7" s="1">
        <v>4</v>
      </c>
      <c r="C7" s="6">
        <v>21.507000000000001</v>
      </c>
      <c r="D7" s="5"/>
      <c r="E7" s="3">
        <f t="shared" si="0"/>
        <v>22</v>
      </c>
      <c r="F7" s="3"/>
      <c r="G7" s="3">
        <f t="shared" si="1"/>
        <v>21.114388050978324</v>
      </c>
    </row>
    <row r="8" spans="1:12">
      <c r="B8" s="1">
        <v>5</v>
      </c>
      <c r="C8" s="6">
        <v>21.797999999999998</v>
      </c>
      <c r="D8" s="5"/>
      <c r="E8" s="3">
        <f t="shared" si="0"/>
        <v>22</v>
      </c>
      <c r="F8" s="3"/>
      <c r="G8" s="3">
        <f t="shared" si="1"/>
        <v>21.114388050978324</v>
      </c>
      <c r="I8" t="s">
        <v>12</v>
      </c>
      <c r="K8">
        <v>22</v>
      </c>
      <c r="L8" t="s">
        <v>50</v>
      </c>
    </row>
    <row r="9" spans="1:12">
      <c r="B9" s="1">
        <v>6</v>
      </c>
      <c r="C9" s="6">
        <v>22.285</v>
      </c>
      <c r="D9" s="5"/>
      <c r="E9" s="3">
        <f t="shared" si="0"/>
        <v>22</v>
      </c>
      <c r="F9" s="3"/>
      <c r="G9" s="3">
        <f t="shared" si="1"/>
        <v>21.114388050978324</v>
      </c>
    </row>
    <row r="10" spans="1:12">
      <c r="B10" s="1">
        <v>7</v>
      </c>
      <c r="C10" s="6">
        <v>21.824000000000002</v>
      </c>
      <c r="D10" s="5"/>
      <c r="E10" s="3">
        <f t="shared" si="0"/>
        <v>22</v>
      </c>
      <c r="F10" s="3"/>
      <c r="G10" s="3">
        <f t="shared" si="1"/>
        <v>21.114388050978324</v>
      </c>
      <c r="I10" t="s">
        <v>53</v>
      </c>
      <c r="K10">
        <v>15.5</v>
      </c>
    </row>
    <row r="11" spans="1:12">
      <c r="B11" s="1">
        <v>8</v>
      </c>
      <c r="C11" s="6">
        <v>21.998999999999999</v>
      </c>
      <c r="D11" s="5"/>
      <c r="E11" s="3">
        <f t="shared" si="0"/>
        <v>22</v>
      </c>
      <c r="F11" s="3"/>
      <c r="G11" s="3">
        <f t="shared" si="1"/>
        <v>21.114388050978324</v>
      </c>
      <c r="I11" t="s">
        <v>54</v>
      </c>
      <c r="K11">
        <v>0.05</v>
      </c>
    </row>
    <row r="12" spans="1:12">
      <c r="B12" s="1">
        <v>9</v>
      </c>
      <c r="C12" s="6">
        <v>21.960999999999999</v>
      </c>
      <c r="D12" s="5"/>
      <c r="E12" s="3">
        <f t="shared" si="0"/>
        <v>22</v>
      </c>
      <c r="F12" s="3"/>
      <c r="G12" s="3">
        <f t="shared" si="1"/>
        <v>21.114388050978324</v>
      </c>
    </row>
    <row r="13" spans="1:12">
      <c r="B13" s="1">
        <v>10</v>
      </c>
      <c r="C13" s="6">
        <v>21.983000000000001</v>
      </c>
      <c r="D13" s="5"/>
      <c r="E13" s="3">
        <f t="shared" si="0"/>
        <v>22</v>
      </c>
      <c r="F13" s="3"/>
      <c r="G13" s="3">
        <f t="shared" si="1"/>
        <v>21.114388050978324</v>
      </c>
      <c r="I13" t="s">
        <v>13</v>
      </c>
      <c r="J13" t="s">
        <v>14</v>
      </c>
      <c r="K13">
        <f>COUNT(C4:C53)</f>
        <v>50</v>
      </c>
    </row>
    <row r="14" spans="1:12">
      <c r="B14" s="1">
        <v>11</v>
      </c>
      <c r="C14" s="6">
        <v>21.600999999999999</v>
      </c>
      <c r="D14" s="5"/>
      <c r="E14" s="3">
        <f t="shared" si="0"/>
        <v>22</v>
      </c>
      <c r="F14" s="3"/>
      <c r="G14" s="3">
        <f t="shared" si="1"/>
        <v>21.114388050978324</v>
      </c>
      <c r="J14" t="s">
        <v>15</v>
      </c>
      <c r="K14" s="7">
        <f>AVERAGE(C4:C53)</f>
        <v>21.925480000000004</v>
      </c>
    </row>
    <row r="15" spans="1:12">
      <c r="B15" s="1">
        <v>12</v>
      </c>
      <c r="C15" s="6">
        <v>21.49</v>
      </c>
      <c r="D15" s="5"/>
      <c r="E15" s="3">
        <f t="shared" si="0"/>
        <v>22</v>
      </c>
      <c r="F15" s="3"/>
      <c r="G15" s="3">
        <f t="shared" si="1"/>
        <v>21.114388050978324</v>
      </c>
      <c r="J15" t="s">
        <v>16</v>
      </c>
      <c r="K15" s="7">
        <f>STDEV(C4:C53)</f>
        <v>0.27859701274458087</v>
      </c>
    </row>
    <row r="16" spans="1:12">
      <c r="B16" s="1">
        <v>13</v>
      </c>
      <c r="C16" s="6">
        <v>21.97</v>
      </c>
      <c r="D16" s="5"/>
      <c r="E16" s="3">
        <f t="shared" si="0"/>
        <v>22</v>
      </c>
      <c r="F16" s="3"/>
      <c r="G16" s="3">
        <f t="shared" si="1"/>
        <v>21.114388050978324</v>
      </c>
      <c r="J16" t="s">
        <v>17</v>
      </c>
      <c r="K16" s="7">
        <f>K8-K14</f>
        <v>7.4519999999996145E-2</v>
      </c>
    </row>
    <row r="17" spans="2:16">
      <c r="B17" s="1">
        <v>14</v>
      </c>
      <c r="C17" s="6">
        <v>22.312999999999999</v>
      </c>
      <c r="D17" s="5"/>
      <c r="E17" s="3">
        <f t="shared" si="0"/>
        <v>22</v>
      </c>
      <c r="F17" s="3"/>
      <c r="G17" s="3">
        <f t="shared" si="1"/>
        <v>21.114388050978324</v>
      </c>
    </row>
    <row r="18" spans="2:16">
      <c r="B18" s="1">
        <v>15</v>
      </c>
      <c r="C18" s="6">
        <v>22.477</v>
      </c>
      <c r="D18" s="5"/>
      <c r="E18" s="3">
        <f t="shared" si="0"/>
        <v>22</v>
      </c>
      <c r="F18" s="3"/>
      <c r="G18" s="3">
        <f t="shared" si="1"/>
        <v>21.114388050978324</v>
      </c>
      <c r="I18" t="s">
        <v>55</v>
      </c>
      <c r="L18" t="str">
        <f>IF(N19=0,"합격","불합격")</f>
        <v>합격</v>
      </c>
    </row>
    <row r="19" spans="2:16">
      <c r="B19" s="1">
        <v>16</v>
      </c>
      <c r="C19" s="6">
        <v>21.881</v>
      </c>
      <c r="D19" s="5"/>
      <c r="E19" s="3">
        <f t="shared" si="0"/>
        <v>22</v>
      </c>
      <c r="F19" s="3"/>
      <c r="G19" s="3">
        <f t="shared" si="1"/>
        <v>21.114388050978324</v>
      </c>
      <c r="J19" t="s">
        <v>56</v>
      </c>
      <c r="K19" t="s">
        <v>5</v>
      </c>
      <c r="L19">
        <f>K5+4*K15</f>
        <v>21.114388050978324</v>
      </c>
      <c r="N19">
        <f>COUNTIF(C4:C53,"&lt;L16")</f>
        <v>0</v>
      </c>
      <c r="P19" t="s">
        <v>57</v>
      </c>
    </row>
    <row r="20" spans="2:16">
      <c r="B20" s="1">
        <v>17</v>
      </c>
      <c r="C20" s="6">
        <v>21.324000000000002</v>
      </c>
      <c r="D20" s="5"/>
      <c r="E20" s="3">
        <f t="shared" si="0"/>
        <v>22</v>
      </c>
      <c r="F20" s="3"/>
      <c r="G20" s="3">
        <f t="shared" si="1"/>
        <v>21.114388050978324</v>
      </c>
    </row>
    <row r="21" spans="2:16">
      <c r="B21" s="1">
        <v>18</v>
      </c>
      <c r="C21" s="6">
        <v>22.138000000000002</v>
      </c>
      <c r="D21" s="5"/>
      <c r="E21" s="3">
        <f t="shared" si="0"/>
        <v>22</v>
      </c>
      <c r="F21" s="3"/>
      <c r="G21" s="3">
        <f t="shared" si="1"/>
        <v>21.114388050978324</v>
      </c>
      <c r="I21" t="s">
        <v>58</v>
      </c>
    </row>
    <row r="22" spans="2:16">
      <c r="B22" s="1">
        <v>19</v>
      </c>
      <c r="C22" s="6">
        <v>21.888000000000002</v>
      </c>
      <c r="D22" s="5"/>
      <c r="E22" s="3">
        <f t="shared" si="0"/>
        <v>22</v>
      </c>
      <c r="F22" s="3"/>
      <c r="G22" s="3">
        <f t="shared" si="1"/>
        <v>21.114388050978324</v>
      </c>
      <c r="J22" t="s">
        <v>32</v>
      </c>
      <c r="L22" t="str">
        <f>IF(N23&lt;30,"합격","불합격")</f>
        <v>합격</v>
      </c>
    </row>
    <row r="23" spans="2:16">
      <c r="B23" s="1">
        <v>20</v>
      </c>
      <c r="C23" s="6">
        <v>22.216999999999999</v>
      </c>
      <c r="D23" s="5"/>
      <c r="E23" s="3">
        <f t="shared" si="0"/>
        <v>22</v>
      </c>
      <c r="F23" s="3"/>
      <c r="G23" s="3">
        <f t="shared" si="1"/>
        <v>21.114388050978324</v>
      </c>
      <c r="J23" t="s">
        <v>33</v>
      </c>
      <c r="K23" t="s">
        <v>59</v>
      </c>
      <c r="N23">
        <f>((6*K15)/(K10))*100</f>
        <v>10.784400493338614</v>
      </c>
      <c r="O23" t="s">
        <v>23</v>
      </c>
      <c r="P23" t="s">
        <v>35</v>
      </c>
    </row>
    <row r="24" spans="2:16">
      <c r="B24" s="1">
        <v>21</v>
      </c>
      <c r="C24" s="6">
        <v>21.902000000000001</v>
      </c>
      <c r="D24" s="5"/>
      <c r="E24" s="3">
        <f t="shared" si="0"/>
        <v>22</v>
      </c>
      <c r="F24" s="3"/>
      <c r="G24" s="3">
        <f t="shared" si="1"/>
        <v>21.114388050978324</v>
      </c>
    </row>
    <row r="25" spans="2:16">
      <c r="B25" s="1">
        <v>22</v>
      </c>
      <c r="C25" s="6">
        <v>21.86</v>
      </c>
      <c r="D25" s="5"/>
      <c r="E25" s="3">
        <f t="shared" si="0"/>
        <v>22</v>
      </c>
      <c r="F25" s="3"/>
      <c r="G25" s="3">
        <f t="shared" si="1"/>
        <v>21.114388050978324</v>
      </c>
      <c r="J25" t="s">
        <v>36</v>
      </c>
      <c r="L25" t="str">
        <f>IF(O27&lt;O29,"편의 없음","편의 있음")</f>
        <v>편의 없음</v>
      </c>
    </row>
    <row r="26" spans="2:16">
      <c r="B26" s="1">
        <v>23</v>
      </c>
      <c r="C26" s="6">
        <v>22.26</v>
      </c>
      <c r="D26" s="5"/>
      <c r="E26" s="3">
        <f t="shared" si="0"/>
        <v>22</v>
      </c>
      <c r="F26" s="3"/>
      <c r="G26" s="3">
        <f t="shared" si="1"/>
        <v>21.114388050978324</v>
      </c>
      <c r="K26" t="s">
        <v>37</v>
      </c>
    </row>
    <row r="27" spans="2:16">
      <c r="B27" s="1">
        <v>24</v>
      </c>
      <c r="C27" s="6">
        <v>21.702999999999999</v>
      </c>
      <c r="D27" s="5"/>
      <c r="E27" s="3">
        <f t="shared" si="0"/>
        <v>22</v>
      </c>
      <c r="F27" s="3"/>
      <c r="G27" s="3">
        <f t="shared" si="1"/>
        <v>21.114388050978324</v>
      </c>
      <c r="K27" t="s">
        <v>38</v>
      </c>
      <c r="M27" t="s">
        <v>39</v>
      </c>
      <c r="O27">
        <f>K16/N28</f>
        <v>1.8913913259482271</v>
      </c>
    </row>
    <row r="28" spans="2:16">
      <c r="B28" s="1">
        <v>25</v>
      </c>
      <c r="C28" s="6">
        <v>21.841999999999999</v>
      </c>
      <c r="D28" s="5"/>
      <c r="E28" s="3">
        <f t="shared" si="0"/>
        <v>22</v>
      </c>
      <c r="F28" s="3"/>
      <c r="G28" s="3">
        <f t="shared" si="1"/>
        <v>21.114388050978324</v>
      </c>
      <c r="L28" t="s">
        <v>40</v>
      </c>
      <c r="N28">
        <f>K15/SQRT(K13)</f>
        <v>3.939956738600163E-2</v>
      </c>
    </row>
    <row r="29" spans="2:16">
      <c r="B29" s="1">
        <v>26</v>
      </c>
      <c r="C29" s="6">
        <v>21.965</v>
      </c>
      <c r="D29" s="5"/>
      <c r="E29" s="3">
        <f t="shared" si="0"/>
        <v>22</v>
      </c>
      <c r="F29" s="3"/>
      <c r="G29" s="3">
        <f t="shared" si="1"/>
        <v>21.114388050978324</v>
      </c>
      <c r="L29" t="s">
        <v>41</v>
      </c>
      <c r="M29" t="s">
        <v>42</v>
      </c>
      <c r="O29">
        <f>_xlfn.T.INV(0.975,49)</f>
        <v>2.0095752371292388</v>
      </c>
    </row>
    <row r="30" spans="2:16">
      <c r="B30" s="1">
        <v>27</v>
      </c>
      <c r="C30" s="6">
        <v>21.684000000000001</v>
      </c>
      <c r="D30" s="5"/>
      <c r="E30" s="3">
        <f t="shared" si="0"/>
        <v>22</v>
      </c>
      <c r="F30" s="3"/>
      <c r="G30" s="3">
        <f t="shared" si="1"/>
        <v>21.114388050978324</v>
      </c>
    </row>
    <row r="31" spans="2:16">
      <c r="B31" s="1">
        <v>28</v>
      </c>
      <c r="C31" s="6">
        <v>22.215</v>
      </c>
      <c r="D31" s="5"/>
      <c r="E31" s="3">
        <f t="shared" si="0"/>
        <v>22</v>
      </c>
      <c r="F31" s="3"/>
      <c r="G31" s="3">
        <f t="shared" si="1"/>
        <v>21.114388050978324</v>
      </c>
      <c r="J31" t="s">
        <v>43</v>
      </c>
      <c r="K31" s="8" t="s">
        <v>44</v>
      </c>
      <c r="L31" s="8" t="s">
        <v>45</v>
      </c>
    </row>
    <row r="32" spans="2:16">
      <c r="B32" s="1">
        <v>29</v>
      </c>
      <c r="C32" s="6">
        <v>21.693999999999999</v>
      </c>
      <c r="D32" s="5"/>
      <c r="E32" s="3">
        <f t="shared" si="0"/>
        <v>22</v>
      </c>
      <c r="F32" s="3"/>
      <c r="G32" s="3">
        <f t="shared" si="1"/>
        <v>21.114388050978324</v>
      </c>
      <c r="K32" s="9" t="str">
        <f>L22</f>
        <v>합격</v>
      </c>
      <c r="L32" s="9" t="str">
        <f>L25</f>
        <v>편의 없음</v>
      </c>
    </row>
    <row r="33" spans="2:9">
      <c r="B33" s="1">
        <v>30</v>
      </c>
      <c r="C33" s="6">
        <v>21.721</v>
      </c>
      <c r="D33" s="5"/>
      <c r="E33" s="3">
        <f t="shared" si="0"/>
        <v>22</v>
      </c>
      <c r="F33" s="3"/>
      <c r="G33" s="3">
        <f t="shared" si="1"/>
        <v>21.114388050978324</v>
      </c>
    </row>
    <row r="34" spans="2:9">
      <c r="B34" s="1">
        <v>31</v>
      </c>
      <c r="C34" s="6">
        <v>21.393999999999998</v>
      </c>
      <c r="D34" s="5"/>
      <c r="E34" s="3">
        <f t="shared" si="0"/>
        <v>22</v>
      </c>
      <c r="F34" s="3"/>
      <c r="G34" s="3">
        <f t="shared" si="1"/>
        <v>21.114388050978324</v>
      </c>
    </row>
    <row r="35" spans="2:9">
      <c r="B35" s="1">
        <v>32</v>
      </c>
      <c r="C35" s="6">
        <v>22.007999999999999</v>
      </c>
      <c r="D35" s="5"/>
      <c r="E35" s="3">
        <f t="shared" si="0"/>
        <v>22</v>
      </c>
      <c r="F35" s="3"/>
      <c r="G35" s="3">
        <f t="shared" si="1"/>
        <v>21.114388050978324</v>
      </c>
      <c r="I35" t="s">
        <v>46</v>
      </c>
    </row>
    <row r="36" spans="2:9">
      <c r="B36" s="1">
        <v>33</v>
      </c>
      <c r="C36" s="6">
        <v>22.266999999999999</v>
      </c>
      <c r="D36" s="5"/>
      <c r="E36" s="3">
        <f t="shared" si="0"/>
        <v>22</v>
      </c>
      <c r="F36" s="3"/>
      <c r="G36" s="3">
        <f t="shared" si="1"/>
        <v>21.114388050978324</v>
      </c>
    </row>
    <row r="37" spans="2:9">
      <c r="B37" s="1">
        <v>34</v>
      </c>
      <c r="C37" s="6">
        <v>21.597000000000001</v>
      </c>
      <c r="D37" s="5"/>
      <c r="E37" s="3">
        <f t="shared" si="0"/>
        <v>22</v>
      </c>
      <c r="F37" s="3"/>
      <c r="G37" s="3">
        <f t="shared" si="1"/>
        <v>21.114388050978324</v>
      </c>
    </row>
    <row r="38" spans="2:9">
      <c r="B38" s="1">
        <v>35</v>
      </c>
      <c r="C38" s="6">
        <v>21.821000000000002</v>
      </c>
      <c r="D38" s="5"/>
      <c r="E38" s="3">
        <f t="shared" si="0"/>
        <v>22</v>
      </c>
      <c r="F38" s="3"/>
      <c r="G38" s="3">
        <f t="shared" si="1"/>
        <v>21.114388050978324</v>
      </c>
    </row>
    <row r="39" spans="2:9">
      <c r="B39" s="1">
        <v>36</v>
      </c>
      <c r="C39" s="6">
        <v>21.995000000000001</v>
      </c>
      <c r="D39" s="5"/>
      <c r="E39" s="3">
        <f t="shared" si="0"/>
        <v>22</v>
      </c>
      <c r="F39" s="3"/>
      <c r="G39" s="3">
        <f t="shared" si="1"/>
        <v>21.114388050978324</v>
      </c>
    </row>
    <row r="40" spans="2:9">
      <c r="B40" s="1">
        <v>37</v>
      </c>
      <c r="C40" s="6">
        <v>21.664000000000001</v>
      </c>
      <c r="D40" s="5"/>
      <c r="E40" s="3">
        <f t="shared" si="0"/>
        <v>22</v>
      </c>
      <c r="F40" s="3"/>
      <c r="G40" s="3">
        <f t="shared" si="1"/>
        <v>21.114388050978324</v>
      </c>
    </row>
    <row r="41" spans="2:9">
      <c r="B41" s="1">
        <v>38</v>
      </c>
      <c r="C41" s="6">
        <v>22.038</v>
      </c>
      <c r="D41" s="5"/>
      <c r="E41" s="3">
        <f t="shared" si="0"/>
        <v>22</v>
      </c>
      <c r="F41" s="3"/>
      <c r="G41" s="3">
        <f t="shared" si="1"/>
        <v>21.114388050978324</v>
      </c>
    </row>
    <row r="42" spans="2:9">
      <c r="B42" s="1">
        <v>39</v>
      </c>
      <c r="C42" s="6">
        <v>22.015000000000001</v>
      </c>
      <c r="D42" s="5"/>
      <c r="E42" s="3">
        <f t="shared" si="0"/>
        <v>22</v>
      </c>
      <c r="F42" s="3"/>
      <c r="G42" s="3">
        <f t="shared" si="1"/>
        <v>21.114388050978324</v>
      </c>
    </row>
    <row r="43" spans="2:9">
      <c r="B43" s="1">
        <v>40</v>
      </c>
      <c r="C43" s="6">
        <v>21.73</v>
      </c>
      <c r="D43" s="5"/>
      <c r="E43" s="3">
        <f t="shared" si="0"/>
        <v>22</v>
      </c>
      <c r="F43" s="3"/>
      <c r="G43" s="3">
        <f t="shared" si="1"/>
        <v>21.114388050978324</v>
      </c>
    </row>
    <row r="44" spans="2:9">
      <c r="B44" s="1">
        <v>41</v>
      </c>
      <c r="C44" s="6">
        <v>22.393000000000001</v>
      </c>
      <c r="D44" s="5"/>
      <c r="E44" s="3">
        <f t="shared" si="0"/>
        <v>22</v>
      </c>
      <c r="F44" s="3"/>
      <c r="G44" s="3">
        <f t="shared" si="1"/>
        <v>21.114388050978324</v>
      </c>
    </row>
    <row r="45" spans="2:9">
      <c r="B45" s="1">
        <v>42</v>
      </c>
      <c r="C45" s="6">
        <v>21.952999999999999</v>
      </c>
      <c r="D45" s="5"/>
      <c r="E45" s="3">
        <f t="shared" si="0"/>
        <v>22</v>
      </c>
      <c r="F45" s="3"/>
      <c r="G45" s="3">
        <f t="shared" si="1"/>
        <v>21.114388050978324</v>
      </c>
    </row>
    <row r="46" spans="2:9">
      <c r="B46" s="1">
        <v>43</v>
      </c>
      <c r="C46" s="6">
        <v>22.277999999999999</v>
      </c>
      <c r="D46" s="5"/>
      <c r="E46" s="3">
        <f t="shared" si="0"/>
        <v>22</v>
      </c>
      <c r="F46" s="3"/>
      <c r="G46" s="3">
        <f t="shared" si="1"/>
        <v>21.114388050978324</v>
      </c>
    </row>
    <row r="47" spans="2:9">
      <c r="B47" s="1">
        <v>44</v>
      </c>
      <c r="C47" s="6">
        <v>21.779</v>
      </c>
      <c r="D47" s="5"/>
      <c r="E47" s="3">
        <f t="shared" si="0"/>
        <v>22</v>
      </c>
      <c r="F47" s="3"/>
      <c r="G47" s="3">
        <f t="shared" si="1"/>
        <v>21.114388050978324</v>
      </c>
    </row>
    <row r="48" spans="2:9">
      <c r="B48" s="1">
        <v>45</v>
      </c>
      <c r="C48" s="6">
        <v>21.367999999999999</v>
      </c>
      <c r="D48" s="5"/>
      <c r="E48" s="3">
        <f t="shared" si="0"/>
        <v>22</v>
      </c>
      <c r="F48" s="3"/>
      <c r="G48" s="3">
        <f t="shared" si="1"/>
        <v>21.114388050978324</v>
      </c>
    </row>
    <row r="49" spans="2:7">
      <c r="B49" s="1">
        <v>46</v>
      </c>
      <c r="C49" s="6">
        <v>21.885999999999999</v>
      </c>
      <c r="D49" s="5"/>
      <c r="E49" s="3">
        <f t="shared" si="0"/>
        <v>22</v>
      </c>
      <c r="F49" s="3"/>
      <c r="G49" s="3">
        <f t="shared" si="1"/>
        <v>21.114388050978324</v>
      </c>
    </row>
    <row r="50" spans="2:7">
      <c r="B50" s="1">
        <v>47</v>
      </c>
      <c r="C50" s="6">
        <v>21.966999999999999</v>
      </c>
      <c r="D50" s="5"/>
      <c r="E50" s="3">
        <f t="shared" si="0"/>
        <v>22</v>
      </c>
      <c r="F50" s="3"/>
      <c r="G50" s="3">
        <f t="shared" si="1"/>
        <v>21.114388050978324</v>
      </c>
    </row>
    <row r="51" spans="2:7">
      <c r="B51" s="1">
        <v>48</v>
      </c>
      <c r="C51" s="6">
        <v>22.294</v>
      </c>
      <c r="D51" s="5"/>
      <c r="E51" s="3">
        <f t="shared" si="0"/>
        <v>22</v>
      </c>
      <c r="F51" s="3"/>
      <c r="G51" s="3">
        <f t="shared" si="1"/>
        <v>21.114388050978324</v>
      </c>
    </row>
    <row r="52" spans="2:7">
      <c r="B52" s="1">
        <v>49</v>
      </c>
      <c r="C52" s="6">
        <v>22.062000000000001</v>
      </c>
      <c r="D52" s="5"/>
      <c r="E52" s="3">
        <f t="shared" si="0"/>
        <v>22</v>
      </c>
      <c r="F52" s="3"/>
      <c r="G52" s="3">
        <f t="shared" si="1"/>
        <v>21.114388050978324</v>
      </c>
    </row>
    <row r="53" spans="2:7">
      <c r="B53" s="1">
        <v>50</v>
      </c>
      <c r="C53" s="6">
        <v>22.181000000000001</v>
      </c>
      <c r="D53" s="5"/>
      <c r="E53" s="3">
        <f t="shared" si="0"/>
        <v>22</v>
      </c>
      <c r="F53" s="3"/>
      <c r="G53" s="3">
        <f t="shared" si="1"/>
        <v>21.114388050978324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topLeftCell="A4" zoomScale="115" zoomScaleNormal="115" workbookViewId="0">
      <selection activeCell="E13" sqref="E13"/>
    </sheetView>
  </sheetViews>
  <sheetFormatPr defaultRowHeight="15"/>
  <cols>
    <col min="1" max="5" width="8.625" style="12"/>
  </cols>
  <sheetData>
    <row r="1" spans="1:5">
      <c r="A1" s="25" t="s">
        <v>60</v>
      </c>
    </row>
    <row r="3" spans="1:5">
      <c r="A3" s="19" t="s">
        <v>61</v>
      </c>
      <c r="B3" s="19" t="s">
        <v>62</v>
      </c>
      <c r="C3" s="19" t="s">
        <v>63</v>
      </c>
      <c r="D3" s="19" t="s">
        <v>64</v>
      </c>
      <c r="E3" s="19" t="s">
        <v>65</v>
      </c>
    </row>
    <row r="4" spans="1:5">
      <c r="A4" s="19">
        <v>1</v>
      </c>
      <c r="B4" s="19">
        <v>1</v>
      </c>
      <c r="C4" s="19">
        <v>16.27</v>
      </c>
      <c r="D4" s="19">
        <v>1</v>
      </c>
      <c r="E4" s="19" t="s">
        <v>66</v>
      </c>
    </row>
    <row r="5" spans="1:5">
      <c r="A5" s="19">
        <v>1</v>
      </c>
      <c r="B5" s="19">
        <v>1</v>
      </c>
      <c r="C5" s="19">
        <v>16.25</v>
      </c>
      <c r="D5" s="19">
        <v>2</v>
      </c>
      <c r="E5" s="19" t="s">
        <v>66</v>
      </c>
    </row>
    <row r="6" spans="1:5">
      <c r="A6" s="19">
        <v>1</v>
      </c>
      <c r="B6" s="19">
        <v>2</v>
      </c>
      <c r="C6" s="19">
        <v>16.23</v>
      </c>
      <c r="D6" s="19">
        <v>1</v>
      </c>
      <c r="E6" s="19" t="s">
        <v>66</v>
      </c>
    </row>
    <row r="7" spans="1:5">
      <c r="A7" s="19">
        <v>1</v>
      </c>
      <c r="B7" s="19">
        <v>2</v>
      </c>
      <c r="C7" s="19">
        <v>16.23</v>
      </c>
      <c r="D7" s="19">
        <v>2</v>
      </c>
      <c r="E7" s="19" t="s">
        <v>66</v>
      </c>
    </row>
    <row r="8" spans="1:5">
      <c r="A8" s="19">
        <v>1</v>
      </c>
      <c r="B8" s="19">
        <v>3</v>
      </c>
      <c r="C8" s="19">
        <v>16.21</v>
      </c>
      <c r="D8" s="19">
        <v>1</v>
      </c>
      <c r="E8" s="19" t="s">
        <v>66</v>
      </c>
    </row>
    <row r="9" spans="1:5">
      <c r="A9" s="19">
        <v>1</v>
      </c>
      <c r="B9" s="19">
        <v>3</v>
      </c>
      <c r="C9" s="19">
        <v>16.23</v>
      </c>
      <c r="D9" s="19">
        <v>2</v>
      </c>
      <c r="E9" s="19" t="s">
        <v>66</v>
      </c>
    </row>
    <row r="10" spans="1:5">
      <c r="A10" s="19">
        <v>2</v>
      </c>
      <c r="B10" s="19">
        <v>1</v>
      </c>
      <c r="C10" s="19">
        <v>16.96</v>
      </c>
      <c r="D10" s="19">
        <v>1</v>
      </c>
      <c r="E10" s="19" t="s">
        <v>66</v>
      </c>
    </row>
    <row r="11" spans="1:5">
      <c r="A11" s="19">
        <v>2</v>
      </c>
      <c r="B11" s="19">
        <v>1</v>
      </c>
      <c r="C11" s="19">
        <v>16.95</v>
      </c>
      <c r="D11" s="19">
        <v>2</v>
      </c>
      <c r="E11" s="19" t="s">
        <v>66</v>
      </c>
    </row>
    <row r="12" spans="1:5">
      <c r="A12" s="19">
        <v>2</v>
      </c>
      <c r="B12" s="19">
        <v>2</v>
      </c>
      <c r="C12" s="19">
        <v>17.02</v>
      </c>
      <c r="D12" s="19">
        <v>1</v>
      </c>
      <c r="E12" s="19" t="s">
        <v>66</v>
      </c>
    </row>
    <row r="13" spans="1:5">
      <c r="A13" s="19">
        <v>2</v>
      </c>
      <c r="B13" s="19">
        <v>2</v>
      </c>
      <c r="C13" s="19">
        <v>17.05</v>
      </c>
      <c r="D13" s="19">
        <v>2</v>
      </c>
      <c r="E13" s="19" t="s">
        <v>67</v>
      </c>
    </row>
    <row r="14" spans="1:5">
      <c r="A14" s="19">
        <v>2</v>
      </c>
      <c r="B14" s="19">
        <v>3</v>
      </c>
      <c r="C14" s="19">
        <v>17.010000000000002</v>
      </c>
      <c r="D14" s="19">
        <v>1</v>
      </c>
      <c r="E14" s="19" t="s">
        <v>68</v>
      </c>
    </row>
    <row r="15" spans="1:5">
      <c r="A15" s="19">
        <v>2</v>
      </c>
      <c r="B15" s="19">
        <v>3</v>
      </c>
      <c r="C15" s="19">
        <v>16.97</v>
      </c>
      <c r="D15" s="19">
        <v>2</v>
      </c>
      <c r="E15" s="19" t="s">
        <v>66</v>
      </c>
    </row>
    <row r="16" spans="1:5">
      <c r="A16" s="19">
        <v>3</v>
      </c>
      <c r="B16" s="19">
        <v>1</v>
      </c>
      <c r="C16" s="19">
        <v>16.64</v>
      </c>
      <c r="D16" s="19">
        <v>1</v>
      </c>
      <c r="E16" s="19" t="s">
        <v>66</v>
      </c>
    </row>
    <row r="17" spans="1:5">
      <c r="A17" s="19">
        <v>3</v>
      </c>
      <c r="B17" s="19">
        <v>1</v>
      </c>
      <c r="C17" s="19">
        <v>16.62</v>
      </c>
      <c r="D17" s="19">
        <v>2</v>
      </c>
      <c r="E17" s="19" t="s">
        <v>66</v>
      </c>
    </row>
    <row r="18" spans="1:5">
      <c r="A18" s="19">
        <v>3</v>
      </c>
      <c r="B18" s="19">
        <v>2</v>
      </c>
      <c r="C18" s="19">
        <v>16.62</v>
      </c>
      <c r="D18" s="19">
        <v>1</v>
      </c>
      <c r="E18" s="19" t="s">
        <v>66</v>
      </c>
    </row>
    <row r="19" spans="1:5">
      <c r="A19" s="19">
        <v>3</v>
      </c>
      <c r="B19" s="19">
        <v>2</v>
      </c>
      <c r="C19" s="19">
        <v>16.59</v>
      </c>
      <c r="D19" s="19">
        <v>2</v>
      </c>
      <c r="E19" s="19" t="s">
        <v>66</v>
      </c>
    </row>
    <row r="20" spans="1:5">
      <c r="A20" s="19">
        <v>3</v>
      </c>
      <c r="B20" s="19">
        <v>3</v>
      </c>
      <c r="C20" s="19">
        <v>16.62</v>
      </c>
      <c r="D20" s="19">
        <v>1</v>
      </c>
      <c r="E20" s="19" t="s">
        <v>66</v>
      </c>
    </row>
    <row r="21" spans="1:5">
      <c r="A21" s="19">
        <v>3</v>
      </c>
      <c r="B21" s="19">
        <v>3</v>
      </c>
      <c r="C21" s="19">
        <v>16.62</v>
      </c>
      <c r="D21" s="19">
        <v>2</v>
      </c>
      <c r="E21" s="19" t="s">
        <v>66</v>
      </c>
    </row>
    <row r="22" spans="1:5">
      <c r="A22" s="19">
        <v>4</v>
      </c>
      <c r="B22" s="19">
        <v>1</v>
      </c>
      <c r="C22" s="19">
        <v>16.82</v>
      </c>
      <c r="D22" s="19">
        <v>1</v>
      </c>
      <c r="E22" s="19" t="s">
        <v>66</v>
      </c>
    </row>
    <row r="23" spans="1:5">
      <c r="A23" s="19">
        <v>4</v>
      </c>
      <c r="B23" s="19">
        <v>1</v>
      </c>
      <c r="C23" s="19">
        <v>16.850000000000001</v>
      </c>
      <c r="D23" s="19">
        <v>2</v>
      </c>
      <c r="E23" s="19" t="s">
        <v>66</v>
      </c>
    </row>
    <row r="24" spans="1:5">
      <c r="A24" s="19">
        <v>4</v>
      </c>
      <c r="B24" s="19">
        <v>2</v>
      </c>
      <c r="C24" s="19">
        <v>16.84</v>
      </c>
      <c r="D24" s="19">
        <v>1</v>
      </c>
      <c r="E24" s="19" t="s">
        <v>66</v>
      </c>
    </row>
    <row r="25" spans="1:5">
      <c r="A25" s="19">
        <v>4</v>
      </c>
      <c r="B25" s="19">
        <v>2</v>
      </c>
      <c r="C25" s="19">
        <v>16.850000000000001</v>
      </c>
      <c r="D25" s="19">
        <v>2</v>
      </c>
      <c r="E25" s="19" t="s">
        <v>66</v>
      </c>
    </row>
    <row r="26" spans="1:5">
      <c r="A26" s="19">
        <v>4</v>
      </c>
      <c r="B26" s="19">
        <v>3</v>
      </c>
      <c r="C26" s="19">
        <v>16.79</v>
      </c>
      <c r="D26" s="19">
        <v>1</v>
      </c>
      <c r="E26" s="19" t="s">
        <v>66</v>
      </c>
    </row>
    <row r="27" spans="1:5">
      <c r="A27" s="19">
        <v>4</v>
      </c>
      <c r="B27" s="19">
        <v>3</v>
      </c>
      <c r="C27" s="19">
        <v>16.809999999999999</v>
      </c>
      <c r="D27" s="19">
        <v>2</v>
      </c>
      <c r="E27" s="19" t="s">
        <v>66</v>
      </c>
    </row>
    <row r="28" spans="1:5">
      <c r="A28" s="19">
        <v>5</v>
      </c>
      <c r="B28" s="19">
        <v>1</v>
      </c>
      <c r="C28" s="19">
        <v>16.149999999999999</v>
      </c>
      <c r="D28" s="19">
        <v>1</v>
      </c>
      <c r="E28" s="19" t="s">
        <v>66</v>
      </c>
    </row>
    <row r="29" spans="1:5">
      <c r="A29" s="19">
        <v>5</v>
      </c>
      <c r="B29" s="19">
        <v>1</v>
      </c>
      <c r="C29" s="19">
        <v>16.13</v>
      </c>
      <c r="D29" s="19">
        <v>2</v>
      </c>
      <c r="E29" s="19" t="s">
        <v>66</v>
      </c>
    </row>
    <row r="30" spans="1:5">
      <c r="A30" s="19">
        <v>5</v>
      </c>
      <c r="B30" s="19">
        <v>2</v>
      </c>
      <c r="C30" s="19">
        <v>16.100000000000001</v>
      </c>
      <c r="D30" s="19">
        <v>1</v>
      </c>
      <c r="E30" s="19" t="s">
        <v>66</v>
      </c>
    </row>
    <row r="31" spans="1:5">
      <c r="A31" s="19">
        <v>5</v>
      </c>
      <c r="B31" s="19">
        <v>2</v>
      </c>
      <c r="C31" s="19">
        <v>16.12</v>
      </c>
      <c r="D31" s="19">
        <v>2</v>
      </c>
      <c r="E31" s="19" t="s">
        <v>66</v>
      </c>
    </row>
    <row r="32" spans="1:5">
      <c r="A32" s="19">
        <v>5</v>
      </c>
      <c r="B32" s="19">
        <v>3</v>
      </c>
      <c r="C32" s="19">
        <v>16.11</v>
      </c>
      <c r="D32" s="19">
        <v>1</v>
      </c>
      <c r="E32" s="19" t="s">
        <v>68</v>
      </c>
    </row>
    <row r="33" spans="1:5">
      <c r="A33" s="19">
        <v>5</v>
      </c>
      <c r="B33" s="19">
        <v>3</v>
      </c>
      <c r="C33" s="19">
        <v>16.149999999999999</v>
      </c>
      <c r="D33" s="19">
        <v>2</v>
      </c>
      <c r="E33" s="19" t="s">
        <v>66</v>
      </c>
    </row>
    <row r="34" spans="1:5">
      <c r="A34" s="19">
        <v>6</v>
      </c>
      <c r="B34" s="19">
        <v>1</v>
      </c>
      <c r="C34" s="19">
        <v>16.940000000000001</v>
      </c>
      <c r="D34" s="19">
        <v>1</v>
      </c>
      <c r="E34" s="19" t="s">
        <v>66</v>
      </c>
    </row>
    <row r="35" spans="1:5">
      <c r="A35" s="19">
        <v>6</v>
      </c>
      <c r="B35" s="19">
        <v>1</v>
      </c>
      <c r="C35" s="19">
        <v>16.940000000000001</v>
      </c>
      <c r="D35" s="19">
        <v>2</v>
      </c>
      <c r="E35" s="19" t="s">
        <v>66</v>
      </c>
    </row>
    <row r="36" spans="1:5">
      <c r="A36" s="19">
        <v>6</v>
      </c>
      <c r="B36" s="19">
        <v>2</v>
      </c>
      <c r="C36" s="19">
        <v>16.97</v>
      </c>
      <c r="D36" s="19">
        <v>1</v>
      </c>
      <c r="E36" s="19" t="s">
        <v>66</v>
      </c>
    </row>
    <row r="37" spans="1:5">
      <c r="A37" s="19">
        <v>6</v>
      </c>
      <c r="B37" s="19">
        <v>2</v>
      </c>
      <c r="C37" s="19">
        <v>16.989999999999998</v>
      </c>
      <c r="D37" s="19">
        <v>2</v>
      </c>
      <c r="E37" s="19" t="s">
        <v>66</v>
      </c>
    </row>
    <row r="38" spans="1:5">
      <c r="A38" s="19">
        <v>6</v>
      </c>
      <c r="B38" s="19">
        <v>3</v>
      </c>
      <c r="C38" s="19">
        <v>16.95</v>
      </c>
      <c r="D38" s="19">
        <v>1</v>
      </c>
      <c r="E38" s="19" t="s">
        <v>66</v>
      </c>
    </row>
    <row r="39" spans="1:5">
      <c r="A39" s="19">
        <v>6</v>
      </c>
      <c r="B39" s="19">
        <v>3</v>
      </c>
      <c r="C39" s="19">
        <v>16.989999999999998</v>
      </c>
      <c r="D39" s="19">
        <v>2</v>
      </c>
      <c r="E39" s="19" t="s">
        <v>68</v>
      </c>
    </row>
    <row r="40" spans="1:5">
      <c r="A40" s="19">
        <v>7</v>
      </c>
      <c r="B40" s="19">
        <v>1</v>
      </c>
      <c r="C40" s="19">
        <v>16.850000000000001</v>
      </c>
      <c r="D40" s="19">
        <v>1</v>
      </c>
      <c r="E40" s="19" t="s">
        <v>66</v>
      </c>
    </row>
    <row r="41" spans="1:5">
      <c r="A41" s="19">
        <v>7</v>
      </c>
      <c r="B41" s="19">
        <v>1</v>
      </c>
      <c r="C41" s="19">
        <v>16.84</v>
      </c>
      <c r="D41" s="19">
        <v>2</v>
      </c>
      <c r="E41" s="19" t="s">
        <v>66</v>
      </c>
    </row>
    <row r="42" spans="1:5">
      <c r="A42" s="19">
        <v>7</v>
      </c>
      <c r="B42" s="19">
        <v>2</v>
      </c>
      <c r="C42" s="19">
        <v>16.809999999999999</v>
      </c>
      <c r="D42" s="19">
        <v>1</v>
      </c>
      <c r="E42" s="19" t="s">
        <v>66</v>
      </c>
    </row>
    <row r="43" spans="1:5">
      <c r="A43" s="19">
        <v>7</v>
      </c>
      <c r="B43" s="19">
        <v>2</v>
      </c>
      <c r="C43" s="19">
        <v>16.829999999999998</v>
      </c>
      <c r="D43" s="19">
        <v>2</v>
      </c>
      <c r="E43" s="19" t="s">
        <v>66</v>
      </c>
    </row>
    <row r="44" spans="1:5">
      <c r="A44" s="19">
        <v>7</v>
      </c>
      <c r="B44" s="19">
        <v>3</v>
      </c>
      <c r="C44" s="19">
        <v>16.84</v>
      </c>
      <c r="D44" s="19">
        <v>1</v>
      </c>
      <c r="E44" s="19" t="s">
        <v>66</v>
      </c>
    </row>
    <row r="45" spans="1:5">
      <c r="A45" s="19">
        <v>7</v>
      </c>
      <c r="B45" s="19">
        <v>3</v>
      </c>
      <c r="C45" s="19">
        <v>16.84</v>
      </c>
      <c r="D45" s="19">
        <v>2</v>
      </c>
      <c r="E45" s="19" t="s">
        <v>66</v>
      </c>
    </row>
    <row r="46" spans="1:5">
      <c r="A46" s="19">
        <v>8</v>
      </c>
      <c r="B46" s="19">
        <v>1</v>
      </c>
      <c r="C46" s="19">
        <v>16.64</v>
      </c>
      <c r="D46" s="19">
        <v>1</v>
      </c>
      <c r="E46" s="19" t="s">
        <v>66</v>
      </c>
    </row>
    <row r="47" spans="1:5">
      <c r="A47" s="19">
        <v>8</v>
      </c>
      <c r="B47" s="19">
        <v>1</v>
      </c>
      <c r="C47" s="19">
        <v>16.62</v>
      </c>
      <c r="D47" s="19">
        <v>2</v>
      </c>
      <c r="E47" s="19" t="s">
        <v>66</v>
      </c>
    </row>
    <row r="48" spans="1:5">
      <c r="A48" s="19">
        <v>8</v>
      </c>
      <c r="B48" s="19">
        <v>2</v>
      </c>
      <c r="C48" s="19">
        <v>16.59</v>
      </c>
      <c r="D48" s="19">
        <v>1</v>
      </c>
      <c r="E48" s="19" t="s">
        <v>66</v>
      </c>
    </row>
    <row r="49" spans="1:5">
      <c r="A49" s="19">
        <v>8</v>
      </c>
      <c r="B49" s="19">
        <v>2</v>
      </c>
      <c r="C49" s="19">
        <v>16.600000000000001</v>
      </c>
      <c r="D49" s="19">
        <v>2</v>
      </c>
      <c r="E49" s="19" t="s">
        <v>66</v>
      </c>
    </row>
    <row r="50" spans="1:5">
      <c r="A50" s="19">
        <v>8</v>
      </c>
      <c r="B50" s="19">
        <v>3</v>
      </c>
      <c r="C50" s="19">
        <v>16.62</v>
      </c>
      <c r="D50" s="19">
        <v>1</v>
      </c>
      <c r="E50" s="19" t="s">
        <v>66</v>
      </c>
    </row>
    <row r="51" spans="1:5">
      <c r="A51" s="19">
        <v>8</v>
      </c>
      <c r="B51" s="19">
        <v>3</v>
      </c>
      <c r="C51" s="19">
        <v>16.61</v>
      </c>
      <c r="D51" s="19">
        <v>2</v>
      </c>
      <c r="E51" s="19" t="s">
        <v>66</v>
      </c>
    </row>
    <row r="52" spans="1:5">
      <c r="A52" s="19">
        <v>9</v>
      </c>
      <c r="B52" s="19">
        <v>1</v>
      </c>
      <c r="C52" s="19">
        <v>16.920000000000002</v>
      </c>
      <c r="D52" s="19">
        <v>1</v>
      </c>
      <c r="E52" s="19" t="s">
        <v>66</v>
      </c>
    </row>
    <row r="53" spans="1:5">
      <c r="A53" s="19">
        <v>9</v>
      </c>
      <c r="B53" s="19">
        <v>1</v>
      </c>
      <c r="C53" s="19">
        <v>16.920000000000002</v>
      </c>
      <c r="D53" s="19">
        <v>2</v>
      </c>
      <c r="E53" s="19" t="s">
        <v>66</v>
      </c>
    </row>
    <row r="54" spans="1:5">
      <c r="A54" s="19">
        <v>9</v>
      </c>
      <c r="B54" s="19">
        <v>2</v>
      </c>
      <c r="C54" s="19">
        <v>16.920000000000002</v>
      </c>
      <c r="D54" s="19">
        <v>1</v>
      </c>
      <c r="E54" s="19" t="s">
        <v>67</v>
      </c>
    </row>
    <row r="55" spans="1:5">
      <c r="A55" s="19">
        <v>9</v>
      </c>
      <c r="B55" s="19">
        <v>2</v>
      </c>
      <c r="C55" s="19">
        <v>16.940000000000001</v>
      </c>
      <c r="D55" s="19">
        <v>2</v>
      </c>
      <c r="E55" s="19" t="s">
        <v>66</v>
      </c>
    </row>
    <row r="56" spans="1:5">
      <c r="A56" s="19">
        <v>9</v>
      </c>
      <c r="B56" s="19">
        <v>3</v>
      </c>
      <c r="C56" s="19">
        <v>16.93</v>
      </c>
      <c r="D56" s="19">
        <v>1</v>
      </c>
      <c r="E56" s="19" t="s">
        <v>66</v>
      </c>
    </row>
    <row r="57" spans="1:5">
      <c r="A57" s="19">
        <v>9</v>
      </c>
      <c r="B57" s="19">
        <v>3</v>
      </c>
      <c r="C57" s="19">
        <v>16.93</v>
      </c>
      <c r="D57" s="19">
        <v>2</v>
      </c>
      <c r="E57" s="19" t="s">
        <v>66</v>
      </c>
    </row>
    <row r="58" spans="1:5">
      <c r="A58" s="19">
        <v>10</v>
      </c>
      <c r="B58" s="19">
        <v>1</v>
      </c>
      <c r="C58" s="19">
        <v>16.309999999999999</v>
      </c>
      <c r="D58" s="19">
        <v>1</v>
      </c>
      <c r="E58" s="19" t="s">
        <v>66</v>
      </c>
    </row>
    <row r="59" spans="1:5">
      <c r="A59" s="19">
        <v>10</v>
      </c>
      <c r="B59" s="19">
        <v>1</v>
      </c>
      <c r="C59" s="19">
        <v>16.32</v>
      </c>
      <c r="D59" s="19">
        <v>2</v>
      </c>
      <c r="E59" s="19" t="s">
        <v>66</v>
      </c>
    </row>
    <row r="60" spans="1:5">
      <c r="A60" s="19">
        <v>10</v>
      </c>
      <c r="B60" s="19">
        <v>2</v>
      </c>
      <c r="C60" s="19">
        <v>16.3</v>
      </c>
      <c r="D60" s="19">
        <v>1</v>
      </c>
      <c r="E60" s="19" t="s">
        <v>67</v>
      </c>
    </row>
    <row r="61" spans="1:5">
      <c r="A61" s="19">
        <v>10</v>
      </c>
      <c r="B61" s="19">
        <v>2</v>
      </c>
      <c r="C61" s="19">
        <v>16.29</v>
      </c>
      <c r="D61" s="19">
        <v>2</v>
      </c>
      <c r="E61" s="19" t="s">
        <v>66</v>
      </c>
    </row>
    <row r="62" spans="1:5">
      <c r="A62" s="19">
        <v>10</v>
      </c>
      <c r="B62" s="19">
        <v>3</v>
      </c>
      <c r="C62" s="19">
        <v>16.32</v>
      </c>
      <c r="D62" s="19">
        <v>1</v>
      </c>
      <c r="E62" s="19" t="s">
        <v>66</v>
      </c>
    </row>
    <row r="63" spans="1:5">
      <c r="A63" s="19">
        <v>10</v>
      </c>
      <c r="B63" s="19">
        <v>3</v>
      </c>
      <c r="C63" s="19">
        <v>16.32</v>
      </c>
      <c r="D63" s="19">
        <v>2</v>
      </c>
      <c r="E63" s="19" t="s">
        <v>66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zoomScale="115" zoomScaleNormal="115" workbookViewId="0">
      <selection activeCell="C9" sqref="A3:D33"/>
    </sheetView>
  </sheetViews>
  <sheetFormatPr defaultRowHeight="15"/>
  <sheetData>
    <row r="1" spans="1:4">
      <c r="A1" t="s">
        <v>69</v>
      </c>
    </row>
    <row r="3" spans="1:4">
      <c r="A3" s="27" t="s">
        <v>70</v>
      </c>
      <c r="B3" s="27" t="s">
        <v>61</v>
      </c>
      <c r="C3" s="27" t="s">
        <v>62</v>
      </c>
      <c r="D3" s="27" t="s">
        <v>71</v>
      </c>
    </row>
    <row r="4" spans="1:4">
      <c r="A4" s="27">
        <v>1</v>
      </c>
      <c r="B4" s="27">
        <v>1</v>
      </c>
      <c r="C4" s="27" t="s">
        <v>72</v>
      </c>
      <c r="D4" s="27">
        <v>20.47</v>
      </c>
    </row>
    <row r="5" spans="1:4">
      <c r="A5" s="27">
        <v>1</v>
      </c>
      <c r="B5" s="27">
        <v>1</v>
      </c>
      <c r="C5" s="27" t="s">
        <v>72</v>
      </c>
      <c r="D5" s="27">
        <v>20.43</v>
      </c>
    </row>
    <row r="6" spans="1:4">
      <c r="A6" s="27">
        <v>2</v>
      </c>
      <c r="B6" s="27">
        <v>2</v>
      </c>
      <c r="C6" s="27" t="s">
        <v>72</v>
      </c>
      <c r="D6" s="27">
        <v>19.37</v>
      </c>
    </row>
    <row r="7" spans="1:4">
      <c r="A7" s="27">
        <v>2</v>
      </c>
      <c r="B7" s="27">
        <v>2</v>
      </c>
      <c r="C7" s="27" t="s">
        <v>72</v>
      </c>
      <c r="D7" s="27">
        <v>19.25</v>
      </c>
    </row>
    <row r="8" spans="1:4">
      <c r="A8" s="27">
        <v>3</v>
      </c>
      <c r="B8" s="27">
        <v>3</v>
      </c>
      <c r="C8" s="27" t="s">
        <v>72</v>
      </c>
      <c r="D8" s="27">
        <v>20.350000000000001</v>
      </c>
    </row>
    <row r="9" spans="1:4">
      <c r="A9" s="27">
        <v>3</v>
      </c>
      <c r="B9" s="27">
        <v>3</v>
      </c>
      <c r="C9" s="27" t="s">
        <v>72</v>
      </c>
      <c r="D9" s="27">
        <v>20.399999999999999</v>
      </c>
    </row>
    <row r="10" spans="1:4">
      <c r="A10" s="27">
        <v>4</v>
      </c>
      <c r="B10" s="27">
        <v>4</v>
      </c>
      <c r="C10" s="27" t="s">
        <v>72</v>
      </c>
      <c r="D10" s="27">
        <v>19.850000000000001</v>
      </c>
    </row>
    <row r="11" spans="1:4">
      <c r="A11" s="27">
        <v>4</v>
      </c>
      <c r="B11" s="27">
        <v>4</v>
      </c>
      <c r="C11" s="27" t="s">
        <v>72</v>
      </c>
      <c r="D11" s="27">
        <v>19.93</v>
      </c>
    </row>
    <row r="12" spans="1:4">
      <c r="A12" s="27">
        <v>5</v>
      </c>
      <c r="B12" s="27">
        <v>5</v>
      </c>
      <c r="C12" s="27" t="s">
        <v>72</v>
      </c>
      <c r="D12" s="27">
        <v>20.34</v>
      </c>
    </row>
    <row r="13" spans="1:4">
      <c r="A13" s="27">
        <v>5</v>
      </c>
      <c r="B13" s="79" t="s">
        <v>73</v>
      </c>
      <c r="C13" s="27" t="s">
        <v>72</v>
      </c>
      <c r="D13" s="27">
        <v>20.350000000000001</v>
      </c>
    </row>
    <row r="14" spans="1:4">
      <c r="A14" s="27">
        <v>6</v>
      </c>
      <c r="B14" s="27">
        <v>6</v>
      </c>
      <c r="C14" s="27" t="s">
        <v>74</v>
      </c>
      <c r="D14" s="27">
        <v>19.309999999999999</v>
      </c>
    </row>
    <row r="15" spans="1:4">
      <c r="A15" s="27">
        <v>6</v>
      </c>
      <c r="B15" s="27">
        <v>6</v>
      </c>
      <c r="C15" s="27" t="s">
        <v>74</v>
      </c>
      <c r="D15" s="27">
        <v>19.3</v>
      </c>
    </row>
    <row r="16" spans="1:4">
      <c r="A16" s="27">
        <v>7</v>
      </c>
      <c r="B16" s="27">
        <v>7</v>
      </c>
      <c r="C16" s="27" t="s">
        <v>74</v>
      </c>
      <c r="D16" s="27">
        <v>20.56</v>
      </c>
    </row>
    <row r="17" spans="1:4">
      <c r="A17" s="27">
        <v>7</v>
      </c>
      <c r="B17" s="27">
        <v>7</v>
      </c>
      <c r="C17" s="27" t="s">
        <v>74</v>
      </c>
      <c r="D17" s="27">
        <v>20.69</v>
      </c>
    </row>
    <row r="18" spans="1:4">
      <c r="A18" s="27">
        <v>8</v>
      </c>
      <c r="B18" s="27">
        <v>8</v>
      </c>
      <c r="C18" s="27" t="s">
        <v>74</v>
      </c>
      <c r="D18" s="27">
        <v>20.47</v>
      </c>
    </row>
    <row r="19" spans="1:4">
      <c r="A19" s="27">
        <v>8</v>
      </c>
      <c r="B19" s="27">
        <v>8</v>
      </c>
      <c r="C19" s="27" t="s">
        <v>74</v>
      </c>
      <c r="D19" s="27">
        <v>20.440000000000001</v>
      </c>
    </row>
    <row r="20" spans="1:4">
      <c r="A20" s="27">
        <v>9</v>
      </c>
      <c r="B20" s="27">
        <v>9</v>
      </c>
      <c r="C20" s="27" t="s">
        <v>74</v>
      </c>
      <c r="D20" s="27">
        <v>19.38</v>
      </c>
    </row>
    <row r="21" spans="1:4">
      <c r="A21" s="27">
        <v>9</v>
      </c>
      <c r="B21" s="27">
        <v>9</v>
      </c>
      <c r="C21" s="27" t="s">
        <v>74</v>
      </c>
      <c r="D21" s="27">
        <v>19.22</v>
      </c>
    </row>
    <row r="22" spans="1:4">
      <c r="A22" s="27">
        <v>10</v>
      </c>
      <c r="B22" s="27">
        <v>10</v>
      </c>
      <c r="C22" s="27" t="s">
        <v>74</v>
      </c>
      <c r="D22" s="27">
        <v>20.36</v>
      </c>
    </row>
    <row r="23" spans="1:4">
      <c r="A23" s="27">
        <v>10</v>
      </c>
      <c r="B23" s="27">
        <v>10</v>
      </c>
      <c r="C23" s="27" t="s">
        <v>74</v>
      </c>
      <c r="D23" s="27">
        <v>20.399999999999999</v>
      </c>
    </row>
    <row r="24" spans="1:4">
      <c r="A24" s="27">
        <v>11</v>
      </c>
      <c r="B24" s="27">
        <v>11</v>
      </c>
      <c r="C24" s="27" t="s">
        <v>75</v>
      </c>
      <c r="D24" s="27">
        <v>19.88</v>
      </c>
    </row>
    <row r="25" spans="1:4">
      <c r="A25" s="27">
        <v>11</v>
      </c>
      <c r="B25" s="27">
        <v>11</v>
      </c>
      <c r="C25" s="27" t="s">
        <v>75</v>
      </c>
      <c r="D25" s="27">
        <v>19.920000000000002</v>
      </c>
    </row>
    <row r="26" spans="1:4">
      <c r="A26" s="27">
        <v>12</v>
      </c>
      <c r="B26" s="27">
        <v>12</v>
      </c>
      <c r="C26" s="27" t="s">
        <v>75</v>
      </c>
      <c r="D26" s="27">
        <v>20.350000000000001</v>
      </c>
    </row>
    <row r="27" spans="1:4">
      <c r="A27" s="27">
        <v>12</v>
      </c>
      <c r="B27" s="27">
        <v>12</v>
      </c>
      <c r="C27" s="27" t="s">
        <v>75</v>
      </c>
      <c r="D27" s="27">
        <v>20.350000000000001</v>
      </c>
    </row>
    <row r="28" spans="1:4">
      <c r="A28" s="27">
        <v>13</v>
      </c>
      <c r="B28" s="27">
        <v>13</v>
      </c>
      <c r="C28" s="27" t="s">
        <v>75</v>
      </c>
      <c r="D28" s="27">
        <v>19.329999999999998</v>
      </c>
    </row>
    <row r="29" spans="1:4">
      <c r="A29" s="27">
        <v>13</v>
      </c>
      <c r="B29" s="27">
        <v>13</v>
      </c>
      <c r="C29" s="27" t="s">
        <v>75</v>
      </c>
      <c r="D29" s="27">
        <v>19.29</v>
      </c>
    </row>
    <row r="30" spans="1:4">
      <c r="A30" s="27">
        <v>14</v>
      </c>
      <c r="B30" s="27">
        <v>14</v>
      </c>
      <c r="C30" s="27" t="s">
        <v>75</v>
      </c>
      <c r="D30" s="27">
        <v>20.59</v>
      </c>
    </row>
    <row r="31" spans="1:4">
      <c r="A31" s="27">
        <v>14</v>
      </c>
      <c r="B31" s="27">
        <v>14</v>
      </c>
      <c r="C31" s="27" t="s">
        <v>75</v>
      </c>
      <c r="D31" s="27">
        <v>20.67</v>
      </c>
    </row>
    <row r="32" spans="1:4">
      <c r="A32" s="27">
        <v>15</v>
      </c>
      <c r="B32" s="27">
        <v>15</v>
      </c>
      <c r="C32" s="27" t="s">
        <v>75</v>
      </c>
      <c r="D32" s="27">
        <v>20.350000000000001</v>
      </c>
    </row>
    <row r="33" spans="1:4">
      <c r="A33" s="27">
        <v>15</v>
      </c>
      <c r="B33" s="27">
        <v>15</v>
      </c>
      <c r="C33" s="27" t="s">
        <v>75</v>
      </c>
      <c r="D33" s="27">
        <v>20.39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3"/>
  <sheetViews>
    <sheetView topLeftCell="A24" workbookViewId="0">
      <selection activeCell="B8" sqref="A3:B53"/>
    </sheetView>
  </sheetViews>
  <sheetFormatPr defaultRowHeight="15"/>
  <sheetData>
    <row r="1" spans="1:2">
      <c r="A1" t="s">
        <v>76</v>
      </c>
    </row>
    <row r="3" spans="1:2">
      <c r="A3" s="10" t="s">
        <v>61</v>
      </c>
      <c r="B3" s="10" t="s">
        <v>63</v>
      </c>
    </row>
    <row r="4" spans="1:2">
      <c r="A4" s="10">
        <v>1</v>
      </c>
      <c r="B4" s="10">
        <v>6.0289999999999999</v>
      </c>
    </row>
    <row r="5" spans="1:2">
      <c r="A5" s="10">
        <v>1</v>
      </c>
      <c r="B5" s="10">
        <v>6.03</v>
      </c>
    </row>
    <row r="6" spans="1:2">
      <c r="A6" s="10">
        <v>2</v>
      </c>
      <c r="B6" s="10">
        <v>6.0190000000000001</v>
      </c>
    </row>
    <row r="7" spans="1:2">
      <c r="A7" s="10">
        <v>2</v>
      </c>
      <c r="B7" s="10">
        <v>6.02</v>
      </c>
    </row>
    <row r="8" spans="1:2">
      <c r="A8" s="10">
        <v>3</v>
      </c>
      <c r="B8" s="10">
        <v>6.0039999999999996</v>
      </c>
    </row>
    <row r="9" spans="1:2">
      <c r="A9" s="10">
        <v>3</v>
      </c>
      <c r="B9" s="10">
        <v>6.0030000000000001</v>
      </c>
    </row>
    <row r="10" spans="1:2">
      <c r="A10" s="10">
        <v>4</v>
      </c>
      <c r="B10" s="10">
        <v>5.9820000000000002</v>
      </c>
    </row>
    <row r="11" spans="1:2">
      <c r="A11" s="10">
        <v>4</v>
      </c>
      <c r="B11" s="10">
        <v>5.9820000000000002</v>
      </c>
    </row>
    <row r="12" spans="1:2">
      <c r="A12" s="10">
        <v>5</v>
      </c>
      <c r="B12" s="10">
        <v>6.0090000000000003</v>
      </c>
    </row>
    <row r="13" spans="1:2">
      <c r="A13" s="10">
        <v>5</v>
      </c>
      <c r="B13" s="10">
        <v>6.0090000000000003</v>
      </c>
    </row>
    <row r="14" spans="1:2">
      <c r="A14" s="10">
        <v>6</v>
      </c>
      <c r="B14" s="10">
        <v>5.9710000000000001</v>
      </c>
    </row>
    <row r="15" spans="1:2">
      <c r="A15" s="10">
        <v>6</v>
      </c>
      <c r="B15" s="10">
        <v>5.9720000000000004</v>
      </c>
    </row>
    <row r="16" spans="1:2">
      <c r="A16" s="10">
        <v>7</v>
      </c>
      <c r="B16" s="10">
        <v>5.9950000000000001</v>
      </c>
    </row>
    <row r="17" spans="1:2">
      <c r="A17" s="10">
        <v>7</v>
      </c>
      <c r="B17" s="10">
        <v>5.9969999999999999</v>
      </c>
    </row>
    <row r="18" spans="1:2">
      <c r="A18" s="10">
        <v>8</v>
      </c>
      <c r="B18" s="10">
        <v>6.0140000000000002</v>
      </c>
    </row>
    <row r="19" spans="1:2">
      <c r="A19" s="10">
        <v>8</v>
      </c>
      <c r="B19" s="10">
        <v>6.0179999999999998</v>
      </c>
    </row>
    <row r="20" spans="1:2">
      <c r="A20" s="10">
        <v>9</v>
      </c>
      <c r="B20" s="10">
        <v>5.9850000000000003</v>
      </c>
    </row>
    <row r="21" spans="1:2">
      <c r="A21" s="10">
        <v>9</v>
      </c>
      <c r="B21" s="10">
        <v>5.9870000000000001</v>
      </c>
    </row>
    <row r="22" spans="1:2">
      <c r="A22" s="10">
        <v>10</v>
      </c>
      <c r="B22" s="10">
        <v>6.024</v>
      </c>
    </row>
    <row r="23" spans="1:2">
      <c r="A23" s="10">
        <v>10</v>
      </c>
      <c r="B23" s="10">
        <v>6.0279999999999996</v>
      </c>
    </row>
    <row r="24" spans="1:2">
      <c r="A24" s="10">
        <v>11</v>
      </c>
      <c r="B24" s="10">
        <v>6.0330000000000004</v>
      </c>
    </row>
    <row r="25" spans="1:2">
      <c r="A25" s="10">
        <v>11</v>
      </c>
      <c r="B25" s="10">
        <v>6.032</v>
      </c>
    </row>
    <row r="26" spans="1:2">
      <c r="A26" s="10">
        <v>12</v>
      </c>
      <c r="B26" s="10">
        <v>6.02</v>
      </c>
    </row>
    <row r="27" spans="1:2">
      <c r="A27" s="10">
        <v>12</v>
      </c>
      <c r="B27" s="10">
        <v>6.0190000000000001</v>
      </c>
    </row>
    <row r="28" spans="1:2">
      <c r="A28" s="10">
        <v>13</v>
      </c>
      <c r="B28" s="10">
        <v>6.0069999999999997</v>
      </c>
    </row>
    <row r="29" spans="1:2">
      <c r="A29" s="10">
        <v>13</v>
      </c>
      <c r="B29" s="10">
        <v>6.0069999999999997</v>
      </c>
    </row>
    <row r="30" spans="1:2">
      <c r="A30" s="10">
        <v>14</v>
      </c>
      <c r="B30" s="10">
        <v>5.9850000000000003</v>
      </c>
    </row>
    <row r="31" spans="1:2">
      <c r="A31" s="10">
        <v>14</v>
      </c>
      <c r="B31" s="10">
        <v>5.9859999999999998</v>
      </c>
    </row>
    <row r="32" spans="1:2">
      <c r="A32" s="10">
        <v>15</v>
      </c>
      <c r="B32" s="10">
        <v>6.0140000000000002</v>
      </c>
    </row>
    <row r="33" spans="1:2">
      <c r="A33" s="10">
        <v>15</v>
      </c>
      <c r="B33" s="10">
        <v>6.0140000000000002</v>
      </c>
    </row>
    <row r="34" spans="1:2">
      <c r="A34" s="10">
        <v>16</v>
      </c>
      <c r="B34" s="10">
        <v>5.9729999999999999</v>
      </c>
    </row>
    <row r="35" spans="1:2">
      <c r="A35" s="10">
        <v>16</v>
      </c>
      <c r="B35" s="10">
        <v>5.9720000000000004</v>
      </c>
    </row>
    <row r="36" spans="1:2">
      <c r="A36" s="10">
        <v>17</v>
      </c>
      <c r="B36" s="10">
        <v>5.9969999999999999</v>
      </c>
    </row>
    <row r="37" spans="1:2">
      <c r="A37" s="10">
        <v>17</v>
      </c>
      <c r="B37" s="10">
        <v>5.9960000000000004</v>
      </c>
    </row>
    <row r="38" spans="1:2">
      <c r="A38" s="10">
        <v>18</v>
      </c>
      <c r="B38" s="10">
        <v>6.0190000000000001</v>
      </c>
    </row>
    <row r="39" spans="1:2">
      <c r="A39" s="10">
        <v>18</v>
      </c>
      <c r="B39" s="10">
        <v>6.0149999999999997</v>
      </c>
    </row>
    <row r="40" spans="1:2">
      <c r="A40" s="10">
        <v>19</v>
      </c>
      <c r="B40" s="10">
        <v>5.9870000000000001</v>
      </c>
    </row>
    <row r="41" spans="1:2">
      <c r="A41" s="10">
        <v>19</v>
      </c>
      <c r="B41" s="10">
        <v>5.9859999999999998</v>
      </c>
    </row>
    <row r="42" spans="1:2">
      <c r="A42" s="10">
        <v>20</v>
      </c>
      <c r="B42" s="10">
        <v>6.0289999999999999</v>
      </c>
    </row>
    <row r="43" spans="1:2">
      <c r="A43" s="10">
        <v>20</v>
      </c>
      <c r="B43" s="10">
        <v>6.0250000000000004</v>
      </c>
    </row>
    <row r="44" spans="1:2">
      <c r="A44" s="10">
        <v>21</v>
      </c>
      <c r="B44" s="10">
        <v>6.0170000000000003</v>
      </c>
    </row>
    <row r="45" spans="1:2">
      <c r="A45" s="10">
        <v>21</v>
      </c>
      <c r="B45" s="10">
        <v>6.0190000000000001</v>
      </c>
    </row>
    <row r="46" spans="1:2">
      <c r="A46" s="10">
        <v>22</v>
      </c>
      <c r="B46" s="10">
        <v>6.0030000000000001</v>
      </c>
    </row>
    <row r="47" spans="1:2">
      <c r="A47" s="10">
        <v>22</v>
      </c>
      <c r="B47" s="10">
        <v>6.0010000000000003</v>
      </c>
    </row>
    <row r="48" spans="1:2">
      <c r="A48" s="10">
        <v>23</v>
      </c>
      <c r="B48" s="10">
        <v>6.0090000000000003</v>
      </c>
    </row>
    <row r="49" spans="1:2">
      <c r="A49" s="10">
        <v>23</v>
      </c>
      <c r="B49" s="10">
        <v>6.0119999999999996</v>
      </c>
    </row>
    <row r="50" spans="1:2">
      <c r="A50" s="10">
        <v>24</v>
      </c>
      <c r="B50" s="10">
        <v>5.9870000000000001</v>
      </c>
    </row>
    <row r="51" spans="1:2">
      <c r="A51" s="10">
        <v>24</v>
      </c>
      <c r="B51" s="10">
        <v>5.9870000000000001</v>
      </c>
    </row>
    <row r="52" spans="1:2">
      <c r="A52" s="10">
        <v>25</v>
      </c>
      <c r="B52" s="10">
        <v>6.0060000000000002</v>
      </c>
    </row>
    <row r="53" spans="1:2">
      <c r="A53" s="10">
        <v>25</v>
      </c>
      <c r="B53" s="10">
        <v>6.0030000000000001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3"/>
  <sheetViews>
    <sheetView workbookViewId="0">
      <selection activeCell="C11" sqref="A3:C63"/>
    </sheetView>
  </sheetViews>
  <sheetFormatPr defaultRowHeight="15"/>
  <sheetData>
    <row r="1" spans="1:20">
      <c r="A1" t="s">
        <v>77</v>
      </c>
    </row>
    <row r="3" spans="1:20">
      <c r="A3" s="10" t="s">
        <v>78</v>
      </c>
      <c r="B3" s="10" t="s">
        <v>79</v>
      </c>
      <c r="C3" s="10" t="s">
        <v>80</v>
      </c>
      <c r="E3" s="8" t="s">
        <v>81</v>
      </c>
      <c r="F3" s="16">
        <v>1</v>
      </c>
      <c r="G3" s="16">
        <v>2</v>
      </c>
      <c r="H3" s="16">
        <v>3</v>
      </c>
      <c r="I3" s="16">
        <v>4</v>
      </c>
      <c r="J3" s="16">
        <v>5</v>
      </c>
      <c r="K3" s="12"/>
      <c r="L3" s="8" t="s">
        <v>81</v>
      </c>
      <c r="M3" s="16">
        <v>1</v>
      </c>
      <c r="N3" s="16">
        <v>2</v>
      </c>
      <c r="O3" s="16">
        <v>3</v>
      </c>
      <c r="P3" s="16">
        <v>4</v>
      </c>
      <c r="Q3" s="16">
        <v>5</v>
      </c>
      <c r="S3" s="22" t="s">
        <v>82</v>
      </c>
      <c r="T3" s="22" t="s">
        <v>83</v>
      </c>
    </row>
    <row r="4" spans="1:20">
      <c r="A4" s="10">
        <v>1</v>
      </c>
      <c r="B4" s="10">
        <v>2</v>
      </c>
      <c r="C4" s="11">
        <v>2.7</v>
      </c>
      <c r="E4" s="17" t="s">
        <v>5</v>
      </c>
      <c r="F4" s="18">
        <v>2</v>
      </c>
      <c r="G4" s="16">
        <v>4</v>
      </c>
      <c r="H4" s="16">
        <v>6</v>
      </c>
      <c r="I4" s="16">
        <v>8</v>
      </c>
      <c r="J4" s="16">
        <v>10</v>
      </c>
      <c r="L4" s="17" t="s">
        <v>5</v>
      </c>
      <c r="M4" s="18">
        <v>2</v>
      </c>
      <c r="N4" s="16">
        <v>4</v>
      </c>
      <c r="O4" s="16">
        <v>6</v>
      </c>
      <c r="P4" s="16">
        <v>8</v>
      </c>
      <c r="Q4" s="16">
        <v>10</v>
      </c>
      <c r="S4" s="21">
        <v>2</v>
      </c>
      <c r="T4" s="23">
        <v>0.4916666666666667</v>
      </c>
    </row>
    <row r="5" spans="1:20">
      <c r="A5" s="10">
        <v>1</v>
      </c>
      <c r="B5" s="10">
        <v>2</v>
      </c>
      <c r="C5" s="11">
        <v>2.5</v>
      </c>
      <c r="E5" s="14" t="s">
        <v>84</v>
      </c>
      <c r="F5" s="15">
        <v>2.7</v>
      </c>
      <c r="G5" s="15">
        <v>5.0999999999999996</v>
      </c>
      <c r="H5" s="15">
        <v>5.8</v>
      </c>
      <c r="I5" s="15">
        <v>7.6</v>
      </c>
      <c r="J5" s="15">
        <v>9.1</v>
      </c>
      <c r="K5" s="13"/>
      <c r="L5" s="14" t="s">
        <v>84</v>
      </c>
      <c r="M5" s="15">
        <f>F5-2</f>
        <v>0.70000000000000018</v>
      </c>
      <c r="N5" s="15">
        <f>G5-4</f>
        <v>1.0999999999999996</v>
      </c>
      <c r="O5" s="15">
        <f>H5-6</f>
        <v>-0.20000000000000018</v>
      </c>
      <c r="P5" s="15">
        <f>I5-8</f>
        <v>-0.40000000000000036</v>
      </c>
      <c r="Q5" s="15">
        <f>J5-10</f>
        <v>-0.90000000000000036</v>
      </c>
      <c r="S5" s="21">
        <v>4</v>
      </c>
      <c r="T5" s="23">
        <v>0.12499999999999989</v>
      </c>
    </row>
    <row r="6" spans="1:20">
      <c r="A6" s="10">
        <v>1</v>
      </c>
      <c r="B6" s="10">
        <v>2</v>
      </c>
      <c r="C6" s="11">
        <v>2.4</v>
      </c>
      <c r="E6" s="14" t="s">
        <v>85</v>
      </c>
      <c r="F6" s="15">
        <v>2.5</v>
      </c>
      <c r="G6" s="15">
        <v>3.9</v>
      </c>
      <c r="H6" s="15">
        <v>5.7</v>
      </c>
      <c r="I6" s="15">
        <v>7.7</v>
      </c>
      <c r="J6" s="15">
        <v>9.3000000000000007</v>
      </c>
      <c r="K6" s="13"/>
      <c r="L6" s="14" t="s">
        <v>85</v>
      </c>
      <c r="M6" s="15">
        <f t="shared" ref="M6:M16" si="0">F6-2</f>
        <v>0.5</v>
      </c>
      <c r="N6" s="15">
        <f t="shared" ref="N6:N16" si="1">G6-4</f>
        <v>-0.10000000000000009</v>
      </c>
      <c r="O6" s="15">
        <f t="shared" ref="O6:O16" si="2">H6-6</f>
        <v>-0.29999999999999982</v>
      </c>
      <c r="P6" s="15">
        <f t="shared" ref="P6:P16" si="3">I6-8</f>
        <v>-0.29999999999999982</v>
      </c>
      <c r="Q6" s="15">
        <f t="shared" ref="Q6:Q16" si="4">J6-10</f>
        <v>-0.69999999999999929</v>
      </c>
      <c r="S6" s="21">
        <v>6</v>
      </c>
      <c r="T6" s="23">
        <v>2.4999999999999984E-2</v>
      </c>
    </row>
    <row r="7" spans="1:20">
      <c r="A7" s="10">
        <v>1</v>
      </c>
      <c r="B7" s="10">
        <v>2</v>
      </c>
      <c r="C7" s="11">
        <v>2.5</v>
      </c>
      <c r="E7" s="14" t="s">
        <v>86</v>
      </c>
      <c r="F7" s="15">
        <v>2.4</v>
      </c>
      <c r="G7" s="15">
        <v>4.2</v>
      </c>
      <c r="H7" s="15">
        <v>5.9</v>
      </c>
      <c r="I7" s="15">
        <v>7.8</v>
      </c>
      <c r="J7" s="15">
        <v>9.5</v>
      </c>
      <c r="K7" s="13"/>
      <c r="L7" s="14" t="s">
        <v>86</v>
      </c>
      <c r="M7" s="15">
        <f t="shared" si="0"/>
        <v>0.39999999999999991</v>
      </c>
      <c r="N7" s="15">
        <f t="shared" si="1"/>
        <v>0.20000000000000018</v>
      </c>
      <c r="O7" s="15">
        <f t="shared" si="2"/>
        <v>-9.9999999999999645E-2</v>
      </c>
      <c r="P7" s="15">
        <f t="shared" si="3"/>
        <v>-0.20000000000000018</v>
      </c>
      <c r="Q7" s="15">
        <f t="shared" si="4"/>
        <v>-0.5</v>
      </c>
      <c r="S7" s="21">
        <v>8</v>
      </c>
      <c r="T7" s="23">
        <v>-0.29166666666666674</v>
      </c>
    </row>
    <row r="8" spans="1:20">
      <c r="A8" s="10">
        <v>1</v>
      </c>
      <c r="B8" s="10">
        <v>2</v>
      </c>
      <c r="C8" s="11">
        <v>2.7</v>
      </c>
      <c r="E8" s="14" t="s">
        <v>87</v>
      </c>
      <c r="F8" s="15">
        <v>2.5</v>
      </c>
      <c r="G8" s="15">
        <v>5</v>
      </c>
      <c r="H8" s="15">
        <v>5.9</v>
      </c>
      <c r="I8" s="15">
        <v>7.7</v>
      </c>
      <c r="J8" s="15">
        <v>9.3000000000000007</v>
      </c>
      <c r="K8" s="13"/>
      <c r="L8" s="14" t="s">
        <v>87</v>
      </c>
      <c r="M8" s="15">
        <f t="shared" si="0"/>
        <v>0.5</v>
      </c>
      <c r="N8" s="15">
        <f t="shared" si="1"/>
        <v>1</v>
      </c>
      <c r="O8" s="15">
        <f t="shared" si="2"/>
        <v>-9.9999999999999645E-2</v>
      </c>
      <c r="P8" s="15">
        <f t="shared" si="3"/>
        <v>-0.29999999999999982</v>
      </c>
      <c r="Q8" s="15">
        <f t="shared" si="4"/>
        <v>-0.69999999999999929</v>
      </c>
      <c r="S8" s="21">
        <v>10</v>
      </c>
      <c r="T8" s="23">
        <v>-0.61666666666666659</v>
      </c>
    </row>
    <row r="9" spans="1:20">
      <c r="A9" s="10">
        <v>1</v>
      </c>
      <c r="B9" s="10">
        <v>2</v>
      </c>
      <c r="C9" s="11">
        <v>2.2999999999999998</v>
      </c>
      <c r="E9" s="14" t="s">
        <v>88</v>
      </c>
      <c r="F9" s="15">
        <v>2.7</v>
      </c>
      <c r="G9" s="15">
        <v>3.8</v>
      </c>
      <c r="H9" s="15">
        <v>6</v>
      </c>
      <c r="I9" s="15">
        <v>7.8</v>
      </c>
      <c r="J9" s="15">
        <v>9.4</v>
      </c>
      <c r="K9" s="13"/>
      <c r="L9" s="14" t="s">
        <v>88</v>
      </c>
      <c r="M9" s="15">
        <f t="shared" si="0"/>
        <v>0.70000000000000018</v>
      </c>
      <c r="N9" s="15">
        <f t="shared" si="1"/>
        <v>-0.20000000000000018</v>
      </c>
      <c r="O9" s="15">
        <f t="shared" si="2"/>
        <v>0</v>
      </c>
      <c r="P9" s="15">
        <f t="shared" si="3"/>
        <v>-0.20000000000000018</v>
      </c>
      <c r="Q9" s="15">
        <f t="shared" si="4"/>
        <v>-0.59999999999999964</v>
      </c>
    </row>
    <row r="10" spans="1:20">
      <c r="A10" s="10">
        <v>1</v>
      </c>
      <c r="B10" s="10">
        <v>2</v>
      </c>
      <c r="C10" s="11">
        <v>2.5</v>
      </c>
      <c r="E10" s="14" t="s">
        <v>89</v>
      </c>
      <c r="F10" s="15">
        <v>2.2999999999999998</v>
      </c>
      <c r="G10" s="15">
        <v>3.9</v>
      </c>
      <c r="H10" s="15">
        <v>6.1</v>
      </c>
      <c r="I10" s="15">
        <v>7.8</v>
      </c>
      <c r="J10" s="15">
        <v>9.5</v>
      </c>
      <c r="K10" s="13"/>
      <c r="L10" s="14" t="s">
        <v>89</v>
      </c>
      <c r="M10" s="15">
        <f t="shared" si="0"/>
        <v>0.29999999999999982</v>
      </c>
      <c r="N10" s="15">
        <f t="shared" si="1"/>
        <v>-0.10000000000000009</v>
      </c>
      <c r="O10" s="15">
        <f t="shared" si="2"/>
        <v>9.9999999999999645E-2</v>
      </c>
      <c r="P10" s="15">
        <f t="shared" si="3"/>
        <v>-0.20000000000000018</v>
      </c>
      <c r="Q10" s="15">
        <f t="shared" si="4"/>
        <v>-0.5</v>
      </c>
    </row>
    <row r="11" spans="1:20">
      <c r="A11" s="10">
        <v>1</v>
      </c>
      <c r="B11" s="10">
        <v>2</v>
      </c>
      <c r="C11" s="11">
        <v>2.5</v>
      </c>
      <c r="E11" s="14" t="s">
        <v>90</v>
      </c>
      <c r="F11" s="15">
        <v>2.5</v>
      </c>
      <c r="G11" s="15">
        <v>3.9</v>
      </c>
      <c r="H11" s="15">
        <v>6</v>
      </c>
      <c r="I11" s="15">
        <v>7.8</v>
      </c>
      <c r="J11" s="15">
        <v>9.5</v>
      </c>
      <c r="K11" s="13"/>
      <c r="L11" s="14" t="s">
        <v>90</v>
      </c>
      <c r="M11" s="15">
        <f t="shared" si="0"/>
        <v>0.5</v>
      </c>
      <c r="N11" s="15">
        <f t="shared" si="1"/>
        <v>-0.10000000000000009</v>
      </c>
      <c r="O11" s="15">
        <f t="shared" si="2"/>
        <v>0</v>
      </c>
      <c r="P11" s="15">
        <f t="shared" si="3"/>
        <v>-0.20000000000000018</v>
      </c>
      <c r="Q11" s="15">
        <f t="shared" si="4"/>
        <v>-0.5</v>
      </c>
    </row>
    <row r="12" spans="1:20">
      <c r="A12" s="10">
        <v>1</v>
      </c>
      <c r="B12" s="10">
        <v>2</v>
      </c>
      <c r="C12" s="11">
        <v>2.4</v>
      </c>
      <c r="E12" s="14" t="s">
        <v>91</v>
      </c>
      <c r="F12" s="15">
        <v>2.5</v>
      </c>
      <c r="G12" s="15">
        <v>3.9</v>
      </c>
      <c r="H12" s="15">
        <v>6.1</v>
      </c>
      <c r="I12" s="15">
        <v>7.7</v>
      </c>
      <c r="J12" s="15">
        <v>9.5</v>
      </c>
      <c r="K12" s="13"/>
      <c r="L12" s="14" t="s">
        <v>91</v>
      </c>
      <c r="M12" s="15">
        <f t="shared" si="0"/>
        <v>0.5</v>
      </c>
      <c r="N12" s="15">
        <f t="shared" si="1"/>
        <v>-0.10000000000000009</v>
      </c>
      <c r="O12" s="15">
        <f t="shared" si="2"/>
        <v>9.9999999999999645E-2</v>
      </c>
      <c r="P12" s="15">
        <f t="shared" si="3"/>
        <v>-0.29999999999999982</v>
      </c>
      <c r="Q12" s="15">
        <f t="shared" si="4"/>
        <v>-0.5</v>
      </c>
    </row>
    <row r="13" spans="1:20">
      <c r="A13" s="10">
        <v>1</v>
      </c>
      <c r="B13" s="10">
        <v>2</v>
      </c>
      <c r="C13" s="11">
        <v>2.4</v>
      </c>
      <c r="E13" s="14" t="s">
        <v>92</v>
      </c>
      <c r="F13" s="15">
        <v>2.4</v>
      </c>
      <c r="G13" s="15">
        <v>3.9</v>
      </c>
      <c r="H13" s="15">
        <v>6.4</v>
      </c>
      <c r="I13" s="15">
        <v>7.8</v>
      </c>
      <c r="J13" s="15">
        <v>9.6</v>
      </c>
      <c r="K13" s="13"/>
      <c r="L13" s="14" t="s">
        <v>92</v>
      </c>
      <c r="M13" s="15">
        <f t="shared" si="0"/>
        <v>0.39999999999999991</v>
      </c>
      <c r="N13" s="15">
        <f t="shared" si="1"/>
        <v>-0.10000000000000009</v>
      </c>
      <c r="O13" s="15">
        <f t="shared" si="2"/>
        <v>0.40000000000000036</v>
      </c>
      <c r="P13" s="15">
        <f t="shared" si="3"/>
        <v>-0.20000000000000018</v>
      </c>
      <c r="Q13" s="15">
        <f t="shared" si="4"/>
        <v>-0.40000000000000036</v>
      </c>
    </row>
    <row r="14" spans="1:20">
      <c r="A14" s="10">
        <v>1</v>
      </c>
      <c r="B14" s="10">
        <v>2</v>
      </c>
      <c r="C14" s="11">
        <v>2.6</v>
      </c>
      <c r="E14" s="14" t="s">
        <v>93</v>
      </c>
      <c r="F14" s="15">
        <v>2.4</v>
      </c>
      <c r="G14" s="15">
        <v>4</v>
      </c>
      <c r="H14" s="15">
        <v>6.3</v>
      </c>
      <c r="I14" s="15">
        <v>7.5</v>
      </c>
      <c r="J14" s="15">
        <v>9.1999999999999993</v>
      </c>
      <c r="K14" s="13"/>
      <c r="L14" s="14" t="s">
        <v>93</v>
      </c>
      <c r="M14" s="15">
        <f t="shared" si="0"/>
        <v>0.39999999999999991</v>
      </c>
      <c r="N14" s="15">
        <f t="shared" si="1"/>
        <v>0</v>
      </c>
      <c r="O14" s="15">
        <f t="shared" si="2"/>
        <v>0.29999999999999982</v>
      </c>
      <c r="P14" s="15">
        <f t="shared" si="3"/>
        <v>-0.5</v>
      </c>
      <c r="Q14" s="15">
        <f t="shared" si="4"/>
        <v>-0.80000000000000071</v>
      </c>
    </row>
    <row r="15" spans="1:20">
      <c r="A15" s="10">
        <v>1</v>
      </c>
      <c r="B15" s="10">
        <v>2</v>
      </c>
      <c r="C15" s="11">
        <v>2.4</v>
      </c>
      <c r="E15" s="14" t="s">
        <v>94</v>
      </c>
      <c r="F15" s="15">
        <v>2.6</v>
      </c>
      <c r="G15" s="15">
        <v>4.0999999999999996</v>
      </c>
      <c r="H15" s="15">
        <v>6</v>
      </c>
      <c r="I15" s="15">
        <v>7.6</v>
      </c>
      <c r="J15" s="15">
        <v>9.3000000000000007</v>
      </c>
      <c r="K15" s="13"/>
      <c r="L15" s="14" t="s">
        <v>94</v>
      </c>
      <c r="M15" s="15">
        <f t="shared" si="0"/>
        <v>0.60000000000000009</v>
      </c>
      <c r="N15" s="15">
        <f t="shared" si="1"/>
        <v>9.9999999999999645E-2</v>
      </c>
      <c r="O15" s="15">
        <f t="shared" si="2"/>
        <v>0</v>
      </c>
      <c r="P15" s="15">
        <f t="shared" si="3"/>
        <v>-0.40000000000000036</v>
      </c>
      <c r="Q15" s="15">
        <f t="shared" si="4"/>
        <v>-0.69999999999999929</v>
      </c>
    </row>
    <row r="16" spans="1:20">
      <c r="A16" s="10">
        <v>2</v>
      </c>
      <c r="B16" s="10">
        <v>4</v>
      </c>
      <c r="C16" s="11">
        <v>5.0999999999999996</v>
      </c>
      <c r="E16" s="14" t="s">
        <v>95</v>
      </c>
      <c r="F16" s="15">
        <v>2.4</v>
      </c>
      <c r="G16" s="15">
        <v>3.8</v>
      </c>
      <c r="H16" s="15">
        <v>6.1</v>
      </c>
      <c r="I16" s="15">
        <v>7.7</v>
      </c>
      <c r="J16" s="15">
        <v>9.4</v>
      </c>
      <c r="K16" s="13"/>
      <c r="L16" s="14" t="s">
        <v>95</v>
      </c>
      <c r="M16" s="15">
        <f t="shared" si="0"/>
        <v>0.39999999999999991</v>
      </c>
      <c r="N16" s="15">
        <f t="shared" si="1"/>
        <v>-0.20000000000000018</v>
      </c>
      <c r="O16" s="15">
        <f t="shared" si="2"/>
        <v>9.9999999999999645E-2</v>
      </c>
      <c r="P16" s="15">
        <f t="shared" si="3"/>
        <v>-0.29999999999999982</v>
      </c>
      <c r="Q16" s="15">
        <f t="shared" si="4"/>
        <v>-0.59999999999999964</v>
      </c>
    </row>
    <row r="17" spans="1:17">
      <c r="A17" s="10">
        <v>2</v>
      </c>
      <c r="B17" s="10">
        <v>4</v>
      </c>
      <c r="C17" s="11">
        <v>3.9</v>
      </c>
      <c r="L17" s="14" t="s">
        <v>96</v>
      </c>
      <c r="M17" s="20">
        <f>AVERAGE(M5:M16)</f>
        <v>0.4916666666666667</v>
      </c>
      <c r="N17" s="20">
        <f t="shared" ref="N17:Q17" si="5">AVERAGE(N5:N16)</f>
        <v>0.12499999999999989</v>
      </c>
      <c r="O17" s="20">
        <f t="shared" si="5"/>
        <v>2.4999999999999984E-2</v>
      </c>
      <c r="P17" s="20">
        <f t="shared" si="5"/>
        <v>-0.29166666666666674</v>
      </c>
      <c r="Q17" s="20">
        <f t="shared" si="5"/>
        <v>-0.61666666666666659</v>
      </c>
    </row>
    <row r="18" spans="1:17">
      <c r="A18" s="10">
        <v>2</v>
      </c>
      <c r="B18" s="10">
        <v>4</v>
      </c>
      <c r="C18" s="11">
        <v>4.2</v>
      </c>
    </row>
    <row r="19" spans="1:17">
      <c r="A19" s="10">
        <v>2</v>
      </c>
      <c r="B19" s="10">
        <v>4</v>
      </c>
      <c r="C19" s="11">
        <v>5</v>
      </c>
    </row>
    <row r="20" spans="1:17">
      <c r="A20" s="10">
        <v>2</v>
      </c>
      <c r="B20" s="10">
        <v>4</v>
      </c>
      <c r="C20" s="11">
        <v>3.8</v>
      </c>
    </row>
    <row r="21" spans="1:17">
      <c r="A21" s="10">
        <v>2</v>
      </c>
      <c r="B21" s="10">
        <v>4</v>
      </c>
      <c r="C21" s="11">
        <v>3.9</v>
      </c>
    </row>
    <row r="22" spans="1:17">
      <c r="A22" s="10">
        <v>2</v>
      </c>
      <c r="B22" s="10">
        <v>4</v>
      </c>
      <c r="C22" s="11">
        <v>3.9</v>
      </c>
    </row>
    <row r="23" spans="1:17">
      <c r="A23" s="10">
        <v>2</v>
      </c>
      <c r="B23" s="10">
        <v>4</v>
      </c>
      <c r="C23" s="11">
        <v>3.9</v>
      </c>
    </row>
    <row r="24" spans="1:17">
      <c r="A24" s="10">
        <v>2</v>
      </c>
      <c r="B24" s="10">
        <v>4</v>
      </c>
      <c r="C24" s="11">
        <v>3.9</v>
      </c>
    </row>
    <row r="25" spans="1:17">
      <c r="A25" s="10">
        <v>2</v>
      </c>
      <c r="B25" s="10">
        <v>4</v>
      </c>
      <c r="C25" s="11">
        <v>4</v>
      </c>
    </row>
    <row r="26" spans="1:17">
      <c r="A26" s="10">
        <v>2</v>
      </c>
      <c r="B26" s="10">
        <v>4</v>
      </c>
      <c r="C26" s="11">
        <v>4.0999999999999996</v>
      </c>
    </row>
    <row r="27" spans="1:17">
      <c r="A27" s="10">
        <v>2</v>
      </c>
      <c r="B27" s="10">
        <v>4</v>
      </c>
      <c r="C27" s="11">
        <v>3.8</v>
      </c>
    </row>
    <row r="28" spans="1:17">
      <c r="A28" s="10">
        <v>3</v>
      </c>
      <c r="B28" s="10">
        <v>6</v>
      </c>
      <c r="C28" s="11">
        <v>5.8</v>
      </c>
    </row>
    <row r="29" spans="1:17">
      <c r="A29" s="10">
        <v>3</v>
      </c>
      <c r="B29" s="10">
        <v>6</v>
      </c>
      <c r="C29" s="11">
        <v>5.7</v>
      </c>
    </row>
    <row r="30" spans="1:17">
      <c r="A30" s="10">
        <v>3</v>
      </c>
      <c r="B30" s="10">
        <v>6</v>
      </c>
      <c r="C30" s="11">
        <v>5.9</v>
      </c>
    </row>
    <row r="31" spans="1:17">
      <c r="A31" s="10">
        <v>3</v>
      </c>
      <c r="B31" s="10">
        <v>6</v>
      </c>
      <c r="C31" s="11">
        <v>5.9</v>
      </c>
    </row>
    <row r="32" spans="1:17">
      <c r="A32" s="10">
        <v>3</v>
      </c>
      <c r="B32" s="10">
        <v>6</v>
      </c>
      <c r="C32" s="11">
        <v>6</v>
      </c>
    </row>
    <row r="33" spans="1:3">
      <c r="A33" s="10">
        <v>3</v>
      </c>
      <c r="B33" s="10">
        <v>6</v>
      </c>
      <c r="C33" s="11">
        <v>6.1</v>
      </c>
    </row>
    <row r="34" spans="1:3">
      <c r="A34" s="10">
        <v>3</v>
      </c>
      <c r="B34" s="10">
        <v>6</v>
      </c>
      <c r="C34" s="11">
        <v>6</v>
      </c>
    </row>
    <row r="35" spans="1:3">
      <c r="A35" s="10">
        <v>3</v>
      </c>
      <c r="B35" s="10">
        <v>6</v>
      </c>
      <c r="C35" s="11">
        <v>6.1</v>
      </c>
    </row>
    <row r="36" spans="1:3">
      <c r="A36" s="10">
        <v>3</v>
      </c>
      <c r="B36" s="10">
        <v>6</v>
      </c>
      <c r="C36" s="11">
        <v>6.4</v>
      </c>
    </row>
    <row r="37" spans="1:3">
      <c r="A37" s="10">
        <v>3</v>
      </c>
      <c r="B37" s="10">
        <v>6</v>
      </c>
      <c r="C37" s="11">
        <v>6.3</v>
      </c>
    </row>
    <row r="38" spans="1:3">
      <c r="A38" s="10">
        <v>3</v>
      </c>
      <c r="B38" s="10">
        <v>6</v>
      </c>
      <c r="C38" s="11">
        <v>6</v>
      </c>
    </row>
    <row r="39" spans="1:3">
      <c r="A39" s="10">
        <v>3</v>
      </c>
      <c r="B39" s="10">
        <v>6</v>
      </c>
      <c r="C39" s="11">
        <v>6.1</v>
      </c>
    </row>
    <row r="40" spans="1:3">
      <c r="A40" s="10">
        <v>4</v>
      </c>
      <c r="B40" s="10">
        <v>8</v>
      </c>
      <c r="C40" s="11">
        <v>7.6</v>
      </c>
    </row>
    <row r="41" spans="1:3">
      <c r="A41" s="10">
        <v>4</v>
      </c>
      <c r="B41" s="10">
        <v>8</v>
      </c>
      <c r="C41" s="11">
        <v>7.7</v>
      </c>
    </row>
    <row r="42" spans="1:3">
      <c r="A42" s="10">
        <v>4</v>
      </c>
      <c r="B42" s="10">
        <v>8</v>
      </c>
      <c r="C42" s="11">
        <v>7.8</v>
      </c>
    </row>
    <row r="43" spans="1:3">
      <c r="A43" s="10">
        <v>4</v>
      </c>
      <c r="B43" s="10">
        <v>8</v>
      </c>
      <c r="C43" s="11">
        <v>7.7</v>
      </c>
    </row>
    <row r="44" spans="1:3">
      <c r="A44" s="10">
        <v>4</v>
      </c>
      <c r="B44" s="10">
        <v>8</v>
      </c>
      <c r="C44" s="11">
        <v>7.8</v>
      </c>
    </row>
    <row r="45" spans="1:3">
      <c r="A45" s="10">
        <v>4</v>
      </c>
      <c r="B45" s="10">
        <v>8</v>
      </c>
      <c r="C45" s="11">
        <v>7.8</v>
      </c>
    </row>
    <row r="46" spans="1:3">
      <c r="A46" s="10">
        <v>4</v>
      </c>
      <c r="B46" s="10">
        <v>8</v>
      </c>
      <c r="C46" s="11">
        <v>7.8</v>
      </c>
    </row>
    <row r="47" spans="1:3">
      <c r="A47" s="10">
        <v>4</v>
      </c>
      <c r="B47" s="10">
        <v>8</v>
      </c>
      <c r="C47" s="11">
        <v>7.7</v>
      </c>
    </row>
    <row r="48" spans="1:3">
      <c r="A48" s="10">
        <v>4</v>
      </c>
      <c r="B48" s="10">
        <v>8</v>
      </c>
      <c r="C48" s="11">
        <v>7.8</v>
      </c>
    </row>
    <row r="49" spans="1:3">
      <c r="A49" s="10">
        <v>4</v>
      </c>
      <c r="B49" s="10">
        <v>8</v>
      </c>
      <c r="C49" s="11">
        <v>7.5</v>
      </c>
    </row>
    <row r="50" spans="1:3">
      <c r="A50" s="10">
        <v>4</v>
      </c>
      <c r="B50" s="10">
        <v>8</v>
      </c>
      <c r="C50" s="11">
        <v>7.6</v>
      </c>
    </row>
    <row r="51" spans="1:3">
      <c r="A51" s="10">
        <v>4</v>
      </c>
      <c r="B51" s="10">
        <v>8</v>
      </c>
      <c r="C51" s="11">
        <v>7.7</v>
      </c>
    </row>
    <row r="52" spans="1:3">
      <c r="A52" s="10">
        <v>5</v>
      </c>
      <c r="B52" s="10">
        <v>10</v>
      </c>
      <c r="C52" s="11">
        <v>9.1</v>
      </c>
    </row>
    <row r="53" spans="1:3">
      <c r="A53" s="10">
        <v>5</v>
      </c>
      <c r="B53" s="10">
        <v>10</v>
      </c>
      <c r="C53" s="11">
        <v>9.3000000000000007</v>
      </c>
    </row>
    <row r="54" spans="1:3">
      <c r="A54" s="10">
        <v>5</v>
      </c>
      <c r="B54" s="10">
        <v>10</v>
      </c>
      <c r="C54" s="11">
        <v>9.5</v>
      </c>
    </row>
    <row r="55" spans="1:3">
      <c r="A55" s="10">
        <v>5</v>
      </c>
      <c r="B55" s="10">
        <v>10</v>
      </c>
      <c r="C55" s="11">
        <v>9.3000000000000007</v>
      </c>
    </row>
    <row r="56" spans="1:3">
      <c r="A56" s="10">
        <v>5</v>
      </c>
      <c r="B56" s="10">
        <v>10</v>
      </c>
      <c r="C56" s="11">
        <v>9.4</v>
      </c>
    </row>
    <row r="57" spans="1:3">
      <c r="A57" s="10">
        <v>5</v>
      </c>
      <c r="B57" s="10">
        <v>10</v>
      </c>
      <c r="C57" s="11">
        <v>9.5</v>
      </c>
    </row>
    <row r="58" spans="1:3">
      <c r="A58" s="10">
        <v>5</v>
      </c>
      <c r="B58" s="10">
        <v>10</v>
      </c>
      <c r="C58" s="11">
        <v>9.5</v>
      </c>
    </row>
    <row r="59" spans="1:3">
      <c r="A59" s="10">
        <v>5</v>
      </c>
      <c r="B59" s="10">
        <v>10</v>
      </c>
      <c r="C59" s="11">
        <v>9.5</v>
      </c>
    </row>
    <row r="60" spans="1:3">
      <c r="A60" s="10">
        <v>5</v>
      </c>
      <c r="B60" s="10">
        <v>10</v>
      </c>
      <c r="C60" s="11">
        <v>9.6</v>
      </c>
    </row>
    <row r="61" spans="1:3">
      <c r="A61" s="10">
        <v>5</v>
      </c>
      <c r="B61" s="10">
        <v>10</v>
      </c>
      <c r="C61" s="11">
        <v>9.1999999999999993</v>
      </c>
    </row>
    <row r="62" spans="1:3">
      <c r="A62" s="10">
        <v>5</v>
      </c>
      <c r="B62" s="10">
        <v>10</v>
      </c>
      <c r="C62" s="11">
        <v>9.3000000000000007</v>
      </c>
    </row>
    <row r="63" spans="1:3">
      <c r="A63" s="10">
        <v>5</v>
      </c>
      <c r="B63" s="10">
        <v>10</v>
      </c>
      <c r="C63" s="11">
        <v>9.4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zoomScale="145" zoomScaleNormal="145" workbookViewId="0">
      <selection activeCell="L10" sqref="L10"/>
    </sheetView>
  </sheetViews>
  <sheetFormatPr defaultRowHeight="15"/>
  <cols>
    <col min="1" max="6" width="8.625" style="12"/>
  </cols>
  <sheetData>
    <row r="1" spans="1:8">
      <c r="A1" s="25" t="s">
        <v>97</v>
      </c>
    </row>
    <row r="3" spans="1:8">
      <c r="A3" s="9" t="s">
        <v>3</v>
      </c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104</v>
      </c>
    </row>
    <row r="4" spans="1:8">
      <c r="A4" s="9">
        <v>1</v>
      </c>
      <c r="B4" s="24">
        <v>6.03</v>
      </c>
      <c r="C4" s="24">
        <v>5.9850000000000003</v>
      </c>
      <c r="D4" s="24">
        <v>6.0759999999999996</v>
      </c>
      <c r="E4" s="24">
        <v>6.0919999999999996</v>
      </c>
      <c r="F4" s="24">
        <v>5.9420000000000002</v>
      </c>
      <c r="G4" s="26">
        <f>AVERAGE(B4:F4)</f>
        <v>6.0250000000000004</v>
      </c>
      <c r="H4" s="26">
        <f>MAX(B4:F4)-MIN(B4:F4)</f>
        <v>0.14999999999999947</v>
      </c>
    </row>
    <row r="5" spans="1:8">
      <c r="A5" s="9">
        <v>2</v>
      </c>
      <c r="B5" s="24">
        <v>6.3780000000000001</v>
      </c>
      <c r="C5" s="24">
        <v>6.008</v>
      </c>
      <c r="D5" s="24">
        <v>6.149</v>
      </c>
      <c r="E5" s="24">
        <v>5.8639999999999999</v>
      </c>
      <c r="F5" s="24">
        <v>5.9509999999999996</v>
      </c>
      <c r="G5" s="26">
        <f t="shared" ref="G5:G23" si="0">AVERAGE(B5:F5)</f>
        <v>6.07</v>
      </c>
      <c r="H5" s="26">
        <f t="shared" ref="H5:H23" si="1">MAX(B5:F5)-MIN(B5:F5)</f>
        <v>0.51400000000000023</v>
      </c>
    </row>
    <row r="6" spans="1:8">
      <c r="A6" s="9">
        <v>3</v>
      </c>
      <c r="B6" s="24">
        <v>6.1980000000000004</v>
      </c>
      <c r="C6" s="24">
        <v>5.8419999999999996</v>
      </c>
      <c r="D6" s="24">
        <v>6.1109999999999998</v>
      </c>
      <c r="E6" s="24">
        <v>6.0679999999999996</v>
      </c>
      <c r="F6" s="24">
        <v>5.8490000000000002</v>
      </c>
      <c r="G6" s="26">
        <f t="shared" si="0"/>
        <v>6.0136000000000003</v>
      </c>
      <c r="H6" s="26">
        <f t="shared" si="1"/>
        <v>0.35600000000000076</v>
      </c>
    </row>
    <row r="7" spans="1:8">
      <c r="A7" s="9">
        <v>4</v>
      </c>
      <c r="B7" s="24">
        <v>5.8739999999999997</v>
      </c>
      <c r="C7" s="24">
        <v>6.0019999999999998</v>
      </c>
      <c r="D7" s="24">
        <v>5.6189999999999998</v>
      </c>
      <c r="E7" s="24">
        <v>6.0979999999999999</v>
      </c>
      <c r="F7" s="24">
        <v>5.8579999999999997</v>
      </c>
      <c r="G7" s="26">
        <f t="shared" si="0"/>
        <v>5.8901999999999992</v>
      </c>
      <c r="H7" s="26">
        <f t="shared" si="1"/>
        <v>0.47900000000000009</v>
      </c>
    </row>
    <row r="8" spans="1:8">
      <c r="A8" s="9">
        <v>5</v>
      </c>
      <c r="B8" s="24">
        <v>6.2190000000000003</v>
      </c>
      <c r="C8" s="24">
        <v>6.1269999999999998</v>
      </c>
      <c r="D8" s="24">
        <v>6.0350000000000001</v>
      </c>
      <c r="E8" s="24">
        <v>6.1310000000000002</v>
      </c>
      <c r="F8" s="24">
        <v>6.2160000000000002</v>
      </c>
      <c r="G8" s="26">
        <f t="shared" si="0"/>
        <v>6.1456</v>
      </c>
      <c r="H8" s="26">
        <f t="shared" si="1"/>
        <v>0.18400000000000016</v>
      </c>
    </row>
    <row r="9" spans="1:8">
      <c r="A9" s="9">
        <v>6</v>
      </c>
      <c r="B9" s="24">
        <v>5.8129999999999997</v>
      </c>
      <c r="C9" s="24">
        <v>5.7889999999999997</v>
      </c>
      <c r="D9" s="24">
        <v>6.1139999999999999</v>
      </c>
      <c r="E9" s="24">
        <v>6.1630000000000003</v>
      </c>
      <c r="F9" s="24">
        <v>5.8769999999999998</v>
      </c>
      <c r="G9" s="26">
        <f t="shared" si="0"/>
        <v>5.9512</v>
      </c>
      <c r="H9" s="26">
        <f t="shared" si="1"/>
        <v>0.37400000000000055</v>
      </c>
    </row>
    <row r="10" spans="1:8">
      <c r="A10" s="9">
        <v>7</v>
      </c>
      <c r="B10" s="24">
        <v>6.1970000000000001</v>
      </c>
      <c r="C10" s="24">
        <v>6.0640000000000001</v>
      </c>
      <c r="D10" s="24">
        <v>6.0309999999999997</v>
      </c>
      <c r="E10" s="24">
        <v>6.194</v>
      </c>
      <c r="F10" s="24">
        <v>5.8339999999999996</v>
      </c>
      <c r="G10" s="26">
        <f t="shared" si="0"/>
        <v>6.0639999999999992</v>
      </c>
      <c r="H10" s="26">
        <f t="shared" si="1"/>
        <v>0.36300000000000043</v>
      </c>
    </row>
    <row r="11" spans="1:8">
      <c r="A11" s="9">
        <v>8</v>
      </c>
      <c r="B11" s="24">
        <v>5.827</v>
      </c>
      <c r="C11" s="24">
        <v>5.9320000000000004</v>
      </c>
      <c r="D11" s="24">
        <v>5.9909999999999997</v>
      </c>
      <c r="E11" s="24">
        <v>6.31</v>
      </c>
      <c r="F11" s="24">
        <v>5.8280000000000003</v>
      </c>
      <c r="G11" s="26">
        <f t="shared" si="0"/>
        <v>5.9775999999999998</v>
      </c>
      <c r="H11" s="26">
        <f t="shared" si="1"/>
        <v>0.48299999999999965</v>
      </c>
    </row>
    <row r="12" spans="1:8">
      <c r="A12" s="9">
        <v>9</v>
      </c>
      <c r="B12" s="24">
        <v>6.1289999999999996</v>
      </c>
      <c r="C12" s="24">
        <v>5.8289999999999997</v>
      </c>
      <c r="D12" s="24">
        <v>6.1479999999999997</v>
      </c>
      <c r="E12" s="24">
        <v>6.03</v>
      </c>
      <c r="F12" s="24">
        <v>6.02</v>
      </c>
      <c r="G12" s="26">
        <f t="shared" si="0"/>
        <v>6.0312000000000001</v>
      </c>
      <c r="H12" s="26">
        <f t="shared" si="1"/>
        <v>0.31899999999999995</v>
      </c>
    </row>
    <row r="13" spans="1:8">
      <c r="A13" s="9">
        <v>10</v>
      </c>
      <c r="B13" s="24">
        <v>6.2309999999999999</v>
      </c>
      <c r="C13" s="24">
        <v>5.9119999999999999</v>
      </c>
      <c r="D13" s="24">
        <v>6.1829999999999998</v>
      </c>
      <c r="E13" s="24">
        <v>6.14</v>
      </c>
      <c r="F13" s="24">
        <v>6.0830000000000002</v>
      </c>
      <c r="G13" s="26">
        <f t="shared" si="0"/>
        <v>6.1097999999999999</v>
      </c>
      <c r="H13" s="26">
        <f t="shared" si="1"/>
        <v>0.31899999999999995</v>
      </c>
    </row>
    <row r="14" spans="1:8">
      <c r="A14" s="9">
        <v>11</v>
      </c>
      <c r="B14" s="24">
        <v>6.0750000000000002</v>
      </c>
      <c r="C14" s="24">
        <v>6.3970000000000002</v>
      </c>
      <c r="D14" s="24">
        <v>6.0739999999999998</v>
      </c>
      <c r="E14" s="24">
        <v>5.9219999999999997</v>
      </c>
      <c r="F14" s="24">
        <v>5.9290000000000003</v>
      </c>
      <c r="G14" s="26">
        <f t="shared" si="0"/>
        <v>6.0793999999999997</v>
      </c>
      <c r="H14" s="26">
        <f t="shared" si="1"/>
        <v>0.47500000000000053</v>
      </c>
    </row>
    <row r="15" spans="1:8">
      <c r="A15" s="9">
        <v>12</v>
      </c>
      <c r="B15" s="24">
        <v>5.7110000000000003</v>
      </c>
      <c r="C15" s="24">
        <v>6.3040000000000003</v>
      </c>
      <c r="D15" s="24">
        <v>6.3179999999999996</v>
      </c>
      <c r="E15" s="24">
        <v>5.96</v>
      </c>
      <c r="F15" s="24">
        <v>6.0540000000000003</v>
      </c>
      <c r="G15" s="26">
        <f t="shared" si="0"/>
        <v>6.0693999999999999</v>
      </c>
      <c r="H15" s="26">
        <f t="shared" si="1"/>
        <v>0.60699999999999932</v>
      </c>
    </row>
    <row r="16" spans="1:8">
      <c r="A16" s="9">
        <v>13</v>
      </c>
      <c r="B16" s="24">
        <v>6.218</v>
      </c>
      <c r="C16" s="24">
        <v>6.0739999999999998</v>
      </c>
      <c r="D16" s="24">
        <v>5.9790000000000001</v>
      </c>
      <c r="E16" s="24">
        <v>6.3540000000000001</v>
      </c>
      <c r="F16" s="24">
        <v>6.2519999999999998</v>
      </c>
      <c r="G16" s="26">
        <f t="shared" si="0"/>
        <v>6.1753999999999998</v>
      </c>
      <c r="H16" s="26">
        <f t="shared" si="1"/>
        <v>0.375</v>
      </c>
    </row>
    <row r="17" spans="1:8">
      <c r="A17" s="9">
        <v>14</v>
      </c>
      <c r="B17" s="24">
        <v>6.0350000000000001</v>
      </c>
      <c r="C17" s="24">
        <v>5.7990000000000004</v>
      </c>
      <c r="D17" s="24">
        <v>5.9640000000000004</v>
      </c>
      <c r="E17" s="24">
        <v>6.3220000000000001</v>
      </c>
      <c r="F17" s="24">
        <v>5.883</v>
      </c>
      <c r="G17" s="26">
        <f t="shared" si="0"/>
        <v>6.0006000000000004</v>
      </c>
      <c r="H17" s="26">
        <f t="shared" si="1"/>
        <v>0.52299999999999969</v>
      </c>
    </row>
    <row r="18" spans="1:8">
      <c r="A18" s="9">
        <v>15</v>
      </c>
      <c r="B18" s="24">
        <v>5.8449999999999998</v>
      </c>
      <c r="C18" s="24">
        <v>6.0149999999999997</v>
      </c>
      <c r="D18" s="24">
        <v>5.907</v>
      </c>
      <c r="E18" s="24">
        <v>6.05</v>
      </c>
      <c r="F18" s="24">
        <v>6.4189999999999996</v>
      </c>
      <c r="G18" s="26">
        <f t="shared" si="0"/>
        <v>6.0472000000000001</v>
      </c>
      <c r="H18" s="26">
        <f t="shared" si="1"/>
        <v>0.57399999999999984</v>
      </c>
    </row>
    <row r="19" spans="1:8">
      <c r="A19" s="9">
        <v>16</v>
      </c>
      <c r="B19" s="24">
        <v>5.992</v>
      </c>
      <c r="C19" s="24">
        <v>5.9509999999999996</v>
      </c>
      <c r="D19" s="24">
        <v>6.0460000000000003</v>
      </c>
      <c r="E19" s="24">
        <v>5.93</v>
      </c>
      <c r="F19" s="24">
        <v>6.07</v>
      </c>
      <c r="G19" s="26">
        <f t="shared" si="0"/>
        <v>5.9977999999999998</v>
      </c>
      <c r="H19" s="26">
        <f t="shared" si="1"/>
        <v>0.14000000000000057</v>
      </c>
    </row>
    <row r="20" spans="1:8">
      <c r="A20" s="9">
        <v>17</v>
      </c>
      <c r="B20" s="24">
        <v>5.9859999999999998</v>
      </c>
      <c r="C20" s="24">
        <v>6.1079999999999997</v>
      </c>
      <c r="D20" s="24">
        <v>6.2210000000000001</v>
      </c>
      <c r="E20" s="24">
        <v>6.0380000000000003</v>
      </c>
      <c r="F20" s="24">
        <v>5.88</v>
      </c>
      <c r="G20" s="26">
        <f t="shared" si="0"/>
        <v>6.0465999999999998</v>
      </c>
      <c r="H20" s="26">
        <f t="shared" si="1"/>
        <v>0.34100000000000019</v>
      </c>
    </row>
    <row r="21" spans="1:8">
      <c r="A21" s="9">
        <v>18</v>
      </c>
      <c r="B21" s="24">
        <v>5.9859999999999998</v>
      </c>
      <c r="C21" s="24">
        <v>6.05</v>
      </c>
      <c r="D21" s="24">
        <v>6.2060000000000004</v>
      </c>
      <c r="E21" s="24">
        <v>5.9779999999999998</v>
      </c>
      <c r="F21" s="24">
        <v>6.0380000000000003</v>
      </c>
      <c r="G21" s="26">
        <f t="shared" si="0"/>
        <v>6.0515999999999996</v>
      </c>
      <c r="H21" s="26">
        <f t="shared" si="1"/>
        <v>0.22800000000000065</v>
      </c>
    </row>
    <row r="22" spans="1:8">
      <c r="A22" s="9">
        <v>19</v>
      </c>
      <c r="B22" s="24">
        <v>5.7329999999999997</v>
      </c>
      <c r="C22" s="24">
        <v>5.9240000000000004</v>
      </c>
      <c r="D22" s="24">
        <v>6.1139999999999999</v>
      </c>
      <c r="E22" s="24">
        <v>5.9020000000000001</v>
      </c>
      <c r="F22" s="24">
        <v>6.1070000000000002</v>
      </c>
      <c r="G22" s="26">
        <f t="shared" si="0"/>
        <v>5.9560000000000004</v>
      </c>
      <c r="H22" s="26">
        <f t="shared" si="1"/>
        <v>0.38100000000000023</v>
      </c>
    </row>
    <row r="23" spans="1:8">
      <c r="A23" s="9">
        <v>20</v>
      </c>
      <c r="B23" s="24">
        <v>6.0209999999999999</v>
      </c>
      <c r="C23" s="24">
        <v>5.4880000000000004</v>
      </c>
      <c r="D23" s="24">
        <v>6.1219999999999999</v>
      </c>
      <c r="E23" s="24">
        <v>6.0780000000000003</v>
      </c>
      <c r="F23" s="24">
        <v>5.9980000000000002</v>
      </c>
      <c r="G23" s="26">
        <f t="shared" si="0"/>
        <v>5.9413999999999998</v>
      </c>
      <c r="H23" s="26">
        <f t="shared" si="1"/>
        <v>0.63399999999999945</v>
      </c>
    </row>
    <row r="24" spans="1:8">
      <c r="F24" s="9" t="s">
        <v>15</v>
      </c>
      <c r="G24" s="26">
        <f>AVERAGE(G4:G23)</f>
        <v>6.0321800000000003</v>
      </c>
      <c r="H24" s="26">
        <f>AVERAGE(H4:H23)</f>
        <v>0.39095000000000008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6"/>
  <sheetViews>
    <sheetView workbookViewId="0">
      <selection activeCell="H26" sqref="H26"/>
    </sheetView>
  </sheetViews>
  <sheetFormatPr defaultRowHeight="15"/>
  <sheetData>
    <row r="1" spans="1:4">
      <c r="A1" s="27" t="s">
        <v>71</v>
      </c>
      <c r="B1" s="27" t="s">
        <v>61</v>
      </c>
      <c r="C1" s="27" t="s">
        <v>105</v>
      </c>
      <c r="D1" s="27" t="s">
        <v>106</v>
      </c>
    </row>
    <row r="2" spans="1:4">
      <c r="A2" s="27" t="s">
        <v>107</v>
      </c>
      <c r="B2" s="27">
        <v>1</v>
      </c>
      <c r="C2" s="27" t="s">
        <v>75</v>
      </c>
      <c r="D2" s="27" t="s">
        <v>107</v>
      </c>
    </row>
    <row r="3" spans="1:4">
      <c r="A3" s="27" t="s">
        <v>107</v>
      </c>
      <c r="B3" s="27">
        <v>1</v>
      </c>
      <c r="C3" s="27" t="s">
        <v>75</v>
      </c>
      <c r="D3" s="27" t="s">
        <v>107</v>
      </c>
    </row>
    <row r="4" spans="1:4">
      <c r="A4" s="27" t="s">
        <v>107</v>
      </c>
      <c r="B4" s="27">
        <v>1</v>
      </c>
      <c r="C4" s="27" t="s">
        <v>75</v>
      </c>
      <c r="D4" s="27" t="s">
        <v>107</v>
      </c>
    </row>
    <row r="5" spans="1:4">
      <c r="A5" s="27" t="s">
        <v>107</v>
      </c>
      <c r="B5" s="27">
        <v>1</v>
      </c>
      <c r="C5" s="27" t="s">
        <v>72</v>
      </c>
      <c r="D5" s="27" t="s">
        <v>107</v>
      </c>
    </row>
    <row r="6" spans="1:4">
      <c r="A6" s="27" t="s">
        <v>107</v>
      </c>
      <c r="B6" s="27">
        <v>1</v>
      </c>
      <c r="C6" s="27" t="s">
        <v>72</v>
      </c>
      <c r="D6" s="27" t="s">
        <v>107</v>
      </c>
    </row>
    <row r="7" spans="1:4">
      <c r="A7" s="27" t="s">
        <v>107</v>
      </c>
      <c r="B7" s="27">
        <v>1</v>
      </c>
      <c r="C7" s="27" t="s">
        <v>72</v>
      </c>
      <c r="D7" s="27" t="s">
        <v>107</v>
      </c>
    </row>
    <row r="8" spans="1:4">
      <c r="A8" s="27" t="s">
        <v>107</v>
      </c>
      <c r="B8" s="27">
        <v>1</v>
      </c>
      <c r="C8" s="27" t="s">
        <v>108</v>
      </c>
      <c r="D8" s="27" t="s">
        <v>107</v>
      </c>
    </row>
    <row r="9" spans="1:4">
      <c r="A9" s="27" t="s">
        <v>107</v>
      </c>
      <c r="B9" s="27">
        <v>1</v>
      </c>
      <c r="C9" s="27" t="s">
        <v>108</v>
      </c>
      <c r="D9" s="27" t="s">
        <v>107</v>
      </c>
    </row>
    <row r="10" spans="1:4">
      <c r="A10" s="27" t="s">
        <v>107</v>
      </c>
      <c r="B10" s="27">
        <v>1</v>
      </c>
      <c r="C10" s="27" t="s">
        <v>108</v>
      </c>
      <c r="D10" s="27" t="s">
        <v>107</v>
      </c>
    </row>
    <row r="11" spans="1:4">
      <c r="A11" s="27" t="s">
        <v>107</v>
      </c>
      <c r="B11" s="27">
        <v>2</v>
      </c>
      <c r="C11" s="27" t="s">
        <v>75</v>
      </c>
      <c r="D11" s="27" t="s">
        <v>107</v>
      </c>
    </row>
    <row r="12" spans="1:4">
      <c r="A12" s="27" t="s">
        <v>107</v>
      </c>
      <c r="B12" s="27">
        <v>2</v>
      </c>
      <c r="C12" s="27" t="s">
        <v>75</v>
      </c>
      <c r="D12" s="27" t="s">
        <v>107</v>
      </c>
    </row>
    <row r="13" spans="1:4">
      <c r="A13" s="27" t="s">
        <v>107</v>
      </c>
      <c r="B13" s="27">
        <v>2</v>
      </c>
      <c r="C13" s="27" t="s">
        <v>75</v>
      </c>
      <c r="D13" s="27" t="s">
        <v>107</v>
      </c>
    </row>
    <row r="14" spans="1:4">
      <c r="A14" s="27" t="s">
        <v>107</v>
      </c>
      <c r="B14" s="27">
        <v>2</v>
      </c>
      <c r="C14" s="27" t="s">
        <v>72</v>
      </c>
      <c r="D14" s="27" t="s">
        <v>107</v>
      </c>
    </row>
    <row r="15" spans="1:4">
      <c r="A15" s="27" t="s">
        <v>107</v>
      </c>
      <c r="B15" s="27">
        <v>2</v>
      </c>
      <c r="C15" s="27" t="s">
        <v>72</v>
      </c>
      <c r="D15" s="27" t="s">
        <v>107</v>
      </c>
    </row>
    <row r="16" spans="1:4">
      <c r="A16" s="27" t="s">
        <v>107</v>
      </c>
      <c r="B16" s="27">
        <v>2</v>
      </c>
      <c r="C16" s="27" t="s">
        <v>72</v>
      </c>
      <c r="D16" s="27" t="s">
        <v>107</v>
      </c>
    </row>
    <row r="17" spans="1:4">
      <c r="A17" s="27" t="s">
        <v>107</v>
      </c>
      <c r="B17" s="27">
        <v>2</v>
      </c>
      <c r="C17" s="27" t="s">
        <v>108</v>
      </c>
      <c r="D17" s="27" t="s">
        <v>107</v>
      </c>
    </row>
    <row r="18" spans="1:4">
      <c r="A18" s="27" t="s">
        <v>107</v>
      </c>
      <c r="B18" s="27">
        <v>2</v>
      </c>
      <c r="C18" s="27" t="s">
        <v>108</v>
      </c>
      <c r="D18" s="27" t="s">
        <v>107</v>
      </c>
    </row>
    <row r="19" spans="1:4">
      <c r="A19" s="27" t="s">
        <v>107</v>
      </c>
      <c r="B19" s="27">
        <v>2</v>
      </c>
      <c r="C19" s="27" t="s">
        <v>108</v>
      </c>
      <c r="D19" s="27" t="s">
        <v>107</v>
      </c>
    </row>
    <row r="20" spans="1:4">
      <c r="A20" s="27" t="s">
        <v>109</v>
      </c>
      <c r="B20" s="27">
        <v>3</v>
      </c>
      <c r="C20" s="27" t="s">
        <v>75</v>
      </c>
      <c r="D20" s="27" t="s">
        <v>109</v>
      </c>
    </row>
    <row r="21" spans="1:4">
      <c r="A21" s="27" t="s">
        <v>109</v>
      </c>
      <c r="B21" s="27">
        <v>3</v>
      </c>
      <c r="C21" s="27" t="s">
        <v>75</v>
      </c>
      <c r="D21" s="27" t="s">
        <v>109</v>
      </c>
    </row>
    <row r="22" spans="1:4">
      <c r="A22" s="27" t="s">
        <v>109</v>
      </c>
      <c r="B22" s="27">
        <v>3</v>
      </c>
      <c r="C22" s="27" t="s">
        <v>75</v>
      </c>
      <c r="D22" s="27" t="s">
        <v>109</v>
      </c>
    </row>
    <row r="23" spans="1:4">
      <c r="A23" s="27" t="s">
        <v>109</v>
      </c>
      <c r="B23" s="27">
        <v>3</v>
      </c>
      <c r="C23" s="27" t="s">
        <v>72</v>
      </c>
      <c r="D23" s="27" t="s">
        <v>109</v>
      </c>
    </row>
    <row r="24" spans="1:4">
      <c r="A24" s="27" t="s">
        <v>109</v>
      </c>
      <c r="B24" s="27">
        <v>3</v>
      </c>
      <c r="C24" s="27" t="s">
        <v>72</v>
      </c>
      <c r="D24" s="27" t="s">
        <v>109</v>
      </c>
    </row>
    <row r="25" spans="1:4">
      <c r="A25" s="27" t="s">
        <v>109</v>
      </c>
      <c r="B25" s="27">
        <v>3</v>
      </c>
      <c r="C25" s="27" t="s">
        <v>72</v>
      </c>
      <c r="D25" s="27" t="s">
        <v>109</v>
      </c>
    </row>
    <row r="26" spans="1:4">
      <c r="A26" s="27" t="s">
        <v>109</v>
      </c>
      <c r="B26" s="27">
        <v>3</v>
      </c>
      <c r="C26" s="27" t="s">
        <v>108</v>
      </c>
      <c r="D26" s="27" t="s">
        <v>109</v>
      </c>
    </row>
    <row r="27" spans="1:4">
      <c r="A27" s="27" t="s">
        <v>109</v>
      </c>
      <c r="B27" s="27">
        <v>3</v>
      </c>
      <c r="C27" s="27" t="s">
        <v>108</v>
      </c>
      <c r="D27" s="27" t="s">
        <v>109</v>
      </c>
    </row>
    <row r="28" spans="1:4">
      <c r="A28" s="27" t="s">
        <v>109</v>
      </c>
      <c r="B28" s="27">
        <v>3</v>
      </c>
      <c r="C28" s="27" t="s">
        <v>108</v>
      </c>
      <c r="D28" s="27" t="s">
        <v>109</v>
      </c>
    </row>
    <row r="29" spans="1:4">
      <c r="A29" s="27" t="s">
        <v>107</v>
      </c>
      <c r="B29" s="27">
        <v>4</v>
      </c>
      <c r="C29" s="27" t="s">
        <v>75</v>
      </c>
      <c r="D29" s="27" t="s">
        <v>107</v>
      </c>
    </row>
    <row r="30" spans="1:4">
      <c r="A30" s="27" t="s">
        <v>107</v>
      </c>
      <c r="B30" s="27">
        <v>4</v>
      </c>
      <c r="C30" s="27" t="s">
        <v>75</v>
      </c>
      <c r="D30" s="27" t="s">
        <v>107</v>
      </c>
    </row>
    <row r="31" spans="1:4">
      <c r="A31" s="27" t="s">
        <v>107</v>
      </c>
      <c r="B31" s="27">
        <v>4</v>
      </c>
      <c r="C31" s="27" t="s">
        <v>75</v>
      </c>
      <c r="D31" s="27" t="s">
        <v>107</v>
      </c>
    </row>
    <row r="32" spans="1:4">
      <c r="A32" s="27" t="s">
        <v>107</v>
      </c>
      <c r="B32" s="27">
        <v>4</v>
      </c>
      <c r="C32" s="27" t="s">
        <v>72</v>
      </c>
      <c r="D32" s="27" t="s">
        <v>107</v>
      </c>
    </row>
    <row r="33" spans="1:4">
      <c r="A33" s="27" t="s">
        <v>107</v>
      </c>
      <c r="B33" s="27">
        <v>4</v>
      </c>
      <c r="C33" s="27" t="s">
        <v>72</v>
      </c>
      <c r="D33" s="27" t="s">
        <v>107</v>
      </c>
    </row>
    <row r="34" spans="1:4">
      <c r="A34" s="27" t="s">
        <v>107</v>
      </c>
      <c r="B34" s="27">
        <v>4</v>
      </c>
      <c r="C34" s="27" t="s">
        <v>72</v>
      </c>
      <c r="D34" s="27" t="s">
        <v>107</v>
      </c>
    </row>
    <row r="35" spans="1:4">
      <c r="A35" s="27" t="s">
        <v>107</v>
      </c>
      <c r="B35" s="27">
        <v>4</v>
      </c>
      <c r="C35" s="27" t="s">
        <v>108</v>
      </c>
      <c r="D35" s="27" t="s">
        <v>107</v>
      </c>
    </row>
    <row r="36" spans="1:4">
      <c r="A36" s="27" t="s">
        <v>107</v>
      </c>
      <c r="B36" s="27">
        <v>4</v>
      </c>
      <c r="C36" s="27" t="s">
        <v>108</v>
      </c>
      <c r="D36" s="27" t="s">
        <v>107</v>
      </c>
    </row>
    <row r="37" spans="1:4">
      <c r="A37" s="27" t="s">
        <v>107</v>
      </c>
      <c r="B37" s="27">
        <v>4</v>
      </c>
      <c r="C37" s="27" t="s">
        <v>108</v>
      </c>
      <c r="D37" s="27" t="s">
        <v>107</v>
      </c>
    </row>
    <row r="38" spans="1:4">
      <c r="A38" s="27" t="s">
        <v>109</v>
      </c>
      <c r="B38" s="27">
        <v>5</v>
      </c>
      <c r="C38" s="27" t="s">
        <v>75</v>
      </c>
      <c r="D38" s="27" t="s">
        <v>109</v>
      </c>
    </row>
    <row r="39" spans="1:4">
      <c r="A39" s="27" t="s">
        <v>109</v>
      </c>
      <c r="B39" s="27">
        <v>5</v>
      </c>
      <c r="C39" s="27" t="s">
        <v>75</v>
      </c>
      <c r="D39" s="27" t="s">
        <v>109</v>
      </c>
    </row>
    <row r="40" spans="1:4">
      <c r="A40" s="27" t="s">
        <v>109</v>
      </c>
      <c r="B40" s="27">
        <v>5</v>
      </c>
      <c r="C40" s="27" t="s">
        <v>75</v>
      </c>
      <c r="D40" s="27" t="s">
        <v>109</v>
      </c>
    </row>
    <row r="41" spans="1:4">
      <c r="A41" s="27" t="s">
        <v>109</v>
      </c>
      <c r="B41" s="27">
        <v>5</v>
      </c>
      <c r="C41" s="27" t="s">
        <v>72</v>
      </c>
      <c r="D41" s="27" t="s">
        <v>109</v>
      </c>
    </row>
    <row r="42" spans="1:4">
      <c r="A42" s="27" t="s">
        <v>107</v>
      </c>
      <c r="B42" s="27">
        <v>5</v>
      </c>
      <c r="C42" s="27" t="s">
        <v>72</v>
      </c>
      <c r="D42" s="27" t="s">
        <v>109</v>
      </c>
    </row>
    <row r="43" spans="1:4">
      <c r="A43" s="27" t="s">
        <v>109</v>
      </c>
      <c r="B43" s="27">
        <v>5</v>
      </c>
      <c r="C43" s="27" t="s">
        <v>72</v>
      </c>
      <c r="D43" s="27" t="s">
        <v>109</v>
      </c>
    </row>
    <row r="44" spans="1:4">
      <c r="A44" s="27" t="s">
        <v>107</v>
      </c>
      <c r="B44" s="27">
        <v>5</v>
      </c>
      <c r="C44" s="27" t="s">
        <v>108</v>
      </c>
      <c r="D44" s="27" t="s">
        <v>109</v>
      </c>
    </row>
    <row r="45" spans="1:4">
      <c r="A45" s="27" t="s">
        <v>107</v>
      </c>
      <c r="B45" s="27">
        <v>5</v>
      </c>
      <c r="C45" s="27" t="s">
        <v>108</v>
      </c>
      <c r="D45" s="27" t="s">
        <v>109</v>
      </c>
    </row>
    <row r="46" spans="1:4">
      <c r="A46" s="27" t="s">
        <v>107</v>
      </c>
      <c r="B46" s="27">
        <v>5</v>
      </c>
      <c r="C46" s="27" t="s">
        <v>108</v>
      </c>
      <c r="D46" s="27" t="s">
        <v>109</v>
      </c>
    </row>
    <row r="47" spans="1:4">
      <c r="A47" s="27" t="s">
        <v>107</v>
      </c>
      <c r="B47" s="27">
        <v>6</v>
      </c>
      <c r="C47" s="27" t="s">
        <v>75</v>
      </c>
      <c r="D47" s="27" t="s">
        <v>107</v>
      </c>
    </row>
    <row r="48" spans="1:4">
      <c r="A48" s="27" t="s">
        <v>107</v>
      </c>
      <c r="B48" s="27">
        <v>6</v>
      </c>
      <c r="C48" s="27" t="s">
        <v>75</v>
      </c>
      <c r="D48" s="27" t="s">
        <v>107</v>
      </c>
    </row>
    <row r="49" spans="1:4">
      <c r="A49" s="27" t="s">
        <v>107</v>
      </c>
      <c r="B49" s="27">
        <v>6</v>
      </c>
      <c r="C49" s="27" t="s">
        <v>75</v>
      </c>
      <c r="D49" s="27" t="s">
        <v>107</v>
      </c>
    </row>
    <row r="50" spans="1:4">
      <c r="A50" s="27" t="s">
        <v>107</v>
      </c>
      <c r="B50" s="27">
        <v>6</v>
      </c>
      <c r="C50" s="27" t="s">
        <v>72</v>
      </c>
      <c r="D50" s="27" t="s">
        <v>107</v>
      </c>
    </row>
    <row r="51" spans="1:4">
      <c r="A51" s="27" t="s">
        <v>109</v>
      </c>
      <c r="B51" s="27">
        <v>6</v>
      </c>
      <c r="C51" s="27" t="s">
        <v>72</v>
      </c>
      <c r="D51" s="27" t="s">
        <v>107</v>
      </c>
    </row>
    <row r="52" spans="1:4">
      <c r="A52" s="27" t="s">
        <v>109</v>
      </c>
      <c r="B52" s="27">
        <v>6</v>
      </c>
      <c r="C52" s="27" t="s">
        <v>72</v>
      </c>
      <c r="D52" s="27" t="s">
        <v>107</v>
      </c>
    </row>
    <row r="53" spans="1:4">
      <c r="A53" s="27" t="s">
        <v>107</v>
      </c>
      <c r="B53" s="27">
        <v>6</v>
      </c>
      <c r="C53" s="27" t="s">
        <v>108</v>
      </c>
      <c r="D53" s="27" t="s">
        <v>107</v>
      </c>
    </row>
    <row r="54" spans="1:4">
      <c r="A54" s="27" t="s">
        <v>107</v>
      </c>
      <c r="B54" s="27">
        <v>6</v>
      </c>
      <c r="C54" s="27" t="s">
        <v>108</v>
      </c>
      <c r="D54" s="27" t="s">
        <v>107</v>
      </c>
    </row>
    <row r="55" spans="1:4">
      <c r="A55" s="27" t="s">
        <v>107</v>
      </c>
      <c r="B55" s="27">
        <v>6</v>
      </c>
      <c r="C55" s="27" t="s">
        <v>108</v>
      </c>
      <c r="D55" s="27" t="s">
        <v>107</v>
      </c>
    </row>
    <row r="56" spans="1:4">
      <c r="A56" s="27" t="s">
        <v>109</v>
      </c>
      <c r="B56" s="27">
        <v>7</v>
      </c>
      <c r="C56" s="27" t="s">
        <v>75</v>
      </c>
      <c r="D56" s="27" t="s">
        <v>109</v>
      </c>
    </row>
    <row r="57" spans="1:4">
      <c r="A57" s="27" t="s">
        <v>109</v>
      </c>
      <c r="B57" s="27">
        <v>7</v>
      </c>
      <c r="C57" s="27" t="s">
        <v>75</v>
      </c>
      <c r="D57" s="27" t="s">
        <v>109</v>
      </c>
    </row>
    <row r="58" spans="1:4">
      <c r="A58" s="27" t="s">
        <v>109</v>
      </c>
      <c r="B58" s="27">
        <v>7</v>
      </c>
      <c r="C58" s="27" t="s">
        <v>75</v>
      </c>
      <c r="D58" s="27" t="s">
        <v>109</v>
      </c>
    </row>
    <row r="59" spans="1:4">
      <c r="A59" s="27" t="s">
        <v>109</v>
      </c>
      <c r="B59" s="27">
        <v>7</v>
      </c>
      <c r="C59" s="27" t="s">
        <v>72</v>
      </c>
      <c r="D59" s="27" t="s">
        <v>109</v>
      </c>
    </row>
    <row r="60" spans="1:4">
      <c r="A60" s="27" t="s">
        <v>109</v>
      </c>
      <c r="B60" s="27">
        <v>7</v>
      </c>
      <c r="C60" s="27" t="s">
        <v>72</v>
      </c>
      <c r="D60" s="27" t="s">
        <v>109</v>
      </c>
    </row>
    <row r="61" spans="1:4">
      <c r="A61" s="27" t="s">
        <v>109</v>
      </c>
      <c r="B61" s="27">
        <v>7</v>
      </c>
      <c r="C61" s="27" t="s">
        <v>72</v>
      </c>
      <c r="D61" s="27" t="s">
        <v>109</v>
      </c>
    </row>
    <row r="62" spans="1:4">
      <c r="A62" s="27" t="s">
        <v>109</v>
      </c>
      <c r="B62" s="27">
        <v>7</v>
      </c>
      <c r="C62" s="27" t="s">
        <v>108</v>
      </c>
      <c r="D62" s="27" t="s">
        <v>109</v>
      </c>
    </row>
    <row r="63" spans="1:4">
      <c r="A63" s="27" t="s">
        <v>109</v>
      </c>
      <c r="B63" s="27">
        <v>7</v>
      </c>
      <c r="C63" s="27" t="s">
        <v>108</v>
      </c>
      <c r="D63" s="27" t="s">
        <v>109</v>
      </c>
    </row>
    <row r="64" spans="1:4">
      <c r="A64" s="27" t="s">
        <v>109</v>
      </c>
      <c r="B64" s="27">
        <v>7</v>
      </c>
      <c r="C64" s="27" t="s">
        <v>108</v>
      </c>
      <c r="D64" s="27" t="s">
        <v>109</v>
      </c>
    </row>
    <row r="65" spans="1:4">
      <c r="A65" s="27" t="s">
        <v>109</v>
      </c>
      <c r="B65" s="27">
        <v>8</v>
      </c>
      <c r="C65" s="27" t="s">
        <v>75</v>
      </c>
      <c r="D65" s="27" t="s">
        <v>109</v>
      </c>
    </row>
    <row r="66" spans="1:4">
      <c r="A66" s="27" t="s">
        <v>109</v>
      </c>
      <c r="B66" s="27">
        <v>8</v>
      </c>
      <c r="C66" s="27" t="s">
        <v>75</v>
      </c>
      <c r="D66" s="27" t="s">
        <v>109</v>
      </c>
    </row>
    <row r="67" spans="1:4">
      <c r="A67" s="27" t="s">
        <v>109</v>
      </c>
      <c r="B67" s="27">
        <v>8</v>
      </c>
      <c r="C67" s="27" t="s">
        <v>75</v>
      </c>
      <c r="D67" s="27" t="s">
        <v>109</v>
      </c>
    </row>
    <row r="68" spans="1:4">
      <c r="A68" s="27" t="s">
        <v>109</v>
      </c>
      <c r="B68" s="27">
        <v>8</v>
      </c>
      <c r="C68" s="27" t="s">
        <v>72</v>
      </c>
      <c r="D68" s="27" t="s">
        <v>109</v>
      </c>
    </row>
    <row r="69" spans="1:4">
      <c r="A69" s="27" t="s">
        <v>109</v>
      </c>
      <c r="B69" s="27">
        <v>8</v>
      </c>
      <c r="C69" s="27" t="s">
        <v>72</v>
      </c>
      <c r="D69" s="27" t="s">
        <v>109</v>
      </c>
    </row>
    <row r="70" spans="1:4">
      <c r="A70" s="27" t="s">
        <v>109</v>
      </c>
      <c r="B70" s="27">
        <v>8</v>
      </c>
      <c r="C70" s="27" t="s">
        <v>72</v>
      </c>
      <c r="D70" s="27" t="s">
        <v>109</v>
      </c>
    </row>
    <row r="71" spans="1:4">
      <c r="A71" s="27" t="s">
        <v>109</v>
      </c>
      <c r="B71" s="27">
        <v>8</v>
      </c>
      <c r="C71" s="27" t="s">
        <v>108</v>
      </c>
      <c r="D71" s="27" t="s">
        <v>109</v>
      </c>
    </row>
    <row r="72" spans="1:4">
      <c r="A72" s="27" t="s">
        <v>107</v>
      </c>
      <c r="B72" s="27">
        <v>8</v>
      </c>
      <c r="C72" s="27" t="s">
        <v>108</v>
      </c>
      <c r="D72" s="27" t="s">
        <v>109</v>
      </c>
    </row>
    <row r="73" spans="1:4">
      <c r="A73" s="27" t="s">
        <v>109</v>
      </c>
      <c r="B73" s="27">
        <v>8</v>
      </c>
      <c r="C73" s="27" t="s">
        <v>108</v>
      </c>
      <c r="D73" s="27" t="s">
        <v>109</v>
      </c>
    </row>
    <row r="74" spans="1:4">
      <c r="A74" s="27" t="s">
        <v>107</v>
      </c>
      <c r="B74" s="27">
        <v>9</v>
      </c>
      <c r="C74" s="27" t="s">
        <v>75</v>
      </c>
      <c r="D74" s="27" t="s">
        <v>107</v>
      </c>
    </row>
    <row r="75" spans="1:4">
      <c r="A75" s="27" t="s">
        <v>107</v>
      </c>
      <c r="B75" s="27">
        <v>9</v>
      </c>
      <c r="C75" s="27" t="s">
        <v>75</v>
      </c>
      <c r="D75" s="27" t="s">
        <v>107</v>
      </c>
    </row>
    <row r="76" spans="1:4">
      <c r="A76" s="27" t="s">
        <v>107</v>
      </c>
      <c r="B76" s="27">
        <v>9</v>
      </c>
      <c r="C76" s="27" t="s">
        <v>75</v>
      </c>
      <c r="D76" s="27" t="s">
        <v>107</v>
      </c>
    </row>
    <row r="77" spans="1:4">
      <c r="A77" s="27" t="s">
        <v>107</v>
      </c>
      <c r="B77" s="27">
        <v>9</v>
      </c>
      <c r="C77" s="27" t="s">
        <v>72</v>
      </c>
      <c r="D77" s="27" t="s">
        <v>107</v>
      </c>
    </row>
    <row r="78" spans="1:4">
      <c r="A78" s="27" t="s">
        <v>107</v>
      </c>
      <c r="B78" s="27">
        <v>9</v>
      </c>
      <c r="C78" s="27" t="s">
        <v>72</v>
      </c>
      <c r="D78" s="27" t="s">
        <v>107</v>
      </c>
    </row>
    <row r="79" spans="1:4">
      <c r="A79" s="27" t="s">
        <v>107</v>
      </c>
      <c r="B79" s="27">
        <v>9</v>
      </c>
      <c r="C79" s="27" t="s">
        <v>72</v>
      </c>
      <c r="D79" s="27" t="s">
        <v>107</v>
      </c>
    </row>
    <row r="80" spans="1:4">
      <c r="A80" s="27" t="s">
        <v>107</v>
      </c>
      <c r="B80" s="27">
        <v>9</v>
      </c>
      <c r="C80" s="27" t="s">
        <v>108</v>
      </c>
      <c r="D80" s="27" t="s">
        <v>107</v>
      </c>
    </row>
    <row r="81" spans="1:4">
      <c r="A81" s="27" t="s">
        <v>107</v>
      </c>
      <c r="B81" s="27">
        <v>9</v>
      </c>
      <c r="C81" s="27" t="s">
        <v>108</v>
      </c>
      <c r="D81" s="27" t="s">
        <v>107</v>
      </c>
    </row>
    <row r="82" spans="1:4">
      <c r="A82" s="27" t="s">
        <v>107</v>
      </c>
      <c r="B82" s="27">
        <v>9</v>
      </c>
      <c r="C82" s="27" t="s">
        <v>108</v>
      </c>
      <c r="D82" s="27" t="s">
        <v>107</v>
      </c>
    </row>
    <row r="83" spans="1:4">
      <c r="A83" s="27" t="s">
        <v>107</v>
      </c>
      <c r="B83" s="27">
        <v>10</v>
      </c>
      <c r="C83" s="27" t="s">
        <v>75</v>
      </c>
      <c r="D83" s="27" t="s">
        <v>107</v>
      </c>
    </row>
    <row r="84" spans="1:4">
      <c r="A84" s="27" t="s">
        <v>107</v>
      </c>
      <c r="B84" s="27">
        <v>10</v>
      </c>
      <c r="C84" s="27" t="s">
        <v>75</v>
      </c>
      <c r="D84" s="27" t="s">
        <v>107</v>
      </c>
    </row>
    <row r="85" spans="1:4">
      <c r="A85" s="27" t="s">
        <v>107</v>
      </c>
      <c r="B85" s="27">
        <v>10</v>
      </c>
      <c r="C85" s="27" t="s">
        <v>75</v>
      </c>
      <c r="D85" s="27" t="s">
        <v>107</v>
      </c>
    </row>
    <row r="86" spans="1:4">
      <c r="A86" s="27" t="s">
        <v>107</v>
      </c>
      <c r="B86" s="27">
        <v>10</v>
      </c>
      <c r="C86" s="27" t="s">
        <v>72</v>
      </c>
      <c r="D86" s="27" t="s">
        <v>107</v>
      </c>
    </row>
    <row r="87" spans="1:4">
      <c r="A87" s="27" t="s">
        <v>107</v>
      </c>
      <c r="B87" s="27">
        <v>10</v>
      </c>
      <c r="C87" s="27" t="s">
        <v>72</v>
      </c>
      <c r="D87" s="27" t="s">
        <v>107</v>
      </c>
    </row>
    <row r="88" spans="1:4">
      <c r="A88" s="27" t="s">
        <v>107</v>
      </c>
      <c r="B88" s="27">
        <v>10</v>
      </c>
      <c r="C88" s="27" t="s">
        <v>72</v>
      </c>
      <c r="D88" s="27" t="s">
        <v>107</v>
      </c>
    </row>
    <row r="89" spans="1:4">
      <c r="A89" s="27" t="s">
        <v>107</v>
      </c>
      <c r="B89" s="27">
        <v>10</v>
      </c>
      <c r="C89" s="27" t="s">
        <v>108</v>
      </c>
      <c r="D89" s="27" t="s">
        <v>107</v>
      </c>
    </row>
    <row r="90" spans="1:4">
      <c r="A90" s="27" t="s">
        <v>107</v>
      </c>
      <c r="B90" s="27">
        <v>10</v>
      </c>
      <c r="C90" s="27" t="s">
        <v>108</v>
      </c>
      <c r="D90" s="27" t="s">
        <v>107</v>
      </c>
    </row>
    <row r="91" spans="1:4">
      <c r="A91" s="27" t="s">
        <v>107</v>
      </c>
      <c r="B91" s="27">
        <v>10</v>
      </c>
      <c r="C91" s="27" t="s">
        <v>108</v>
      </c>
      <c r="D91" s="27" t="s">
        <v>107</v>
      </c>
    </row>
    <row r="92" spans="1:4">
      <c r="A92" s="27" t="s">
        <v>109</v>
      </c>
      <c r="B92" s="27">
        <v>11</v>
      </c>
      <c r="C92" s="27" t="s">
        <v>75</v>
      </c>
      <c r="D92" s="27" t="s">
        <v>109</v>
      </c>
    </row>
    <row r="93" spans="1:4">
      <c r="A93" s="27" t="s">
        <v>109</v>
      </c>
      <c r="B93" s="27">
        <v>11</v>
      </c>
      <c r="C93" s="27" t="s">
        <v>75</v>
      </c>
      <c r="D93" s="27" t="s">
        <v>109</v>
      </c>
    </row>
    <row r="94" spans="1:4">
      <c r="A94" s="27" t="s">
        <v>109</v>
      </c>
      <c r="B94" s="27">
        <v>11</v>
      </c>
      <c r="C94" s="27" t="s">
        <v>75</v>
      </c>
      <c r="D94" s="27" t="s">
        <v>109</v>
      </c>
    </row>
    <row r="95" spans="1:4">
      <c r="A95" s="27" t="s">
        <v>109</v>
      </c>
      <c r="B95" s="27">
        <v>11</v>
      </c>
      <c r="C95" s="27" t="s">
        <v>72</v>
      </c>
      <c r="D95" s="27" t="s">
        <v>109</v>
      </c>
    </row>
    <row r="96" spans="1:4">
      <c r="A96" s="27" t="s">
        <v>109</v>
      </c>
      <c r="B96" s="27">
        <v>11</v>
      </c>
      <c r="C96" s="27" t="s">
        <v>72</v>
      </c>
      <c r="D96" s="27" t="s">
        <v>109</v>
      </c>
    </row>
    <row r="97" spans="1:4">
      <c r="A97" s="27" t="s">
        <v>109</v>
      </c>
      <c r="B97" s="27">
        <v>11</v>
      </c>
      <c r="C97" s="27" t="s">
        <v>72</v>
      </c>
      <c r="D97" s="27" t="s">
        <v>109</v>
      </c>
    </row>
    <row r="98" spans="1:4">
      <c r="A98" s="27" t="s">
        <v>109</v>
      </c>
      <c r="B98" s="27">
        <v>11</v>
      </c>
      <c r="C98" s="27" t="s">
        <v>108</v>
      </c>
      <c r="D98" s="27" t="s">
        <v>109</v>
      </c>
    </row>
    <row r="99" spans="1:4">
      <c r="A99" s="27" t="s">
        <v>109</v>
      </c>
      <c r="B99" s="27">
        <v>11</v>
      </c>
      <c r="C99" s="27" t="s">
        <v>108</v>
      </c>
      <c r="D99" s="27" t="s">
        <v>109</v>
      </c>
    </row>
    <row r="100" spans="1:4">
      <c r="A100" s="27" t="s">
        <v>109</v>
      </c>
      <c r="B100" s="27">
        <v>11</v>
      </c>
      <c r="C100" s="27" t="s">
        <v>108</v>
      </c>
      <c r="D100" s="27" t="s">
        <v>109</v>
      </c>
    </row>
    <row r="101" spans="1:4">
      <c r="A101" s="27" t="s">
        <v>107</v>
      </c>
      <c r="B101" s="27">
        <v>12</v>
      </c>
      <c r="C101" s="27" t="s">
        <v>75</v>
      </c>
      <c r="D101" s="27" t="s">
        <v>107</v>
      </c>
    </row>
    <row r="102" spans="1:4">
      <c r="A102" s="27" t="s">
        <v>109</v>
      </c>
      <c r="B102" s="27">
        <v>12</v>
      </c>
      <c r="C102" s="27" t="s">
        <v>75</v>
      </c>
      <c r="D102" s="27" t="s">
        <v>107</v>
      </c>
    </row>
    <row r="103" spans="1:4">
      <c r="A103" s="27" t="s">
        <v>107</v>
      </c>
      <c r="B103" s="27">
        <v>12</v>
      </c>
      <c r="C103" s="27" t="s">
        <v>75</v>
      </c>
      <c r="D103" s="27" t="s">
        <v>107</v>
      </c>
    </row>
    <row r="104" spans="1:4">
      <c r="A104" s="27" t="s">
        <v>109</v>
      </c>
      <c r="B104" s="27">
        <v>12</v>
      </c>
      <c r="C104" s="27" t="s">
        <v>72</v>
      </c>
      <c r="D104" s="27" t="s">
        <v>107</v>
      </c>
    </row>
    <row r="105" spans="1:4">
      <c r="A105" s="27" t="s">
        <v>109</v>
      </c>
      <c r="B105" s="27">
        <v>12</v>
      </c>
      <c r="C105" s="27" t="s">
        <v>72</v>
      </c>
      <c r="D105" s="27" t="s">
        <v>107</v>
      </c>
    </row>
    <row r="106" spans="1:4">
      <c r="A106" s="27" t="s">
        <v>109</v>
      </c>
      <c r="B106" s="27">
        <v>12</v>
      </c>
      <c r="C106" s="27" t="s">
        <v>72</v>
      </c>
      <c r="D106" s="27" t="s">
        <v>107</v>
      </c>
    </row>
    <row r="107" spans="1:4">
      <c r="A107" s="27" t="s">
        <v>107</v>
      </c>
      <c r="B107" s="27">
        <v>12</v>
      </c>
      <c r="C107" s="27" t="s">
        <v>108</v>
      </c>
      <c r="D107" s="27" t="s">
        <v>107</v>
      </c>
    </row>
    <row r="108" spans="1:4">
      <c r="A108" s="27" t="s">
        <v>107</v>
      </c>
      <c r="B108" s="27">
        <v>12</v>
      </c>
      <c r="C108" s="27" t="s">
        <v>108</v>
      </c>
      <c r="D108" s="27" t="s">
        <v>107</v>
      </c>
    </row>
    <row r="109" spans="1:4">
      <c r="A109" s="27" t="s">
        <v>109</v>
      </c>
      <c r="B109" s="27">
        <v>12</v>
      </c>
      <c r="C109" s="27" t="s">
        <v>108</v>
      </c>
      <c r="D109" s="27" t="s">
        <v>107</v>
      </c>
    </row>
    <row r="110" spans="1:4">
      <c r="A110" s="27" t="s">
        <v>109</v>
      </c>
      <c r="B110" s="27">
        <v>13</v>
      </c>
      <c r="C110" s="27" t="s">
        <v>75</v>
      </c>
      <c r="D110" s="27" t="s">
        <v>109</v>
      </c>
    </row>
    <row r="111" spans="1:4">
      <c r="A111" s="27" t="s">
        <v>109</v>
      </c>
      <c r="B111" s="27">
        <v>13</v>
      </c>
      <c r="C111" s="27" t="s">
        <v>75</v>
      </c>
      <c r="D111" s="27" t="s">
        <v>109</v>
      </c>
    </row>
    <row r="112" spans="1:4">
      <c r="A112" s="27" t="s">
        <v>109</v>
      </c>
      <c r="B112" s="27">
        <v>13</v>
      </c>
      <c r="C112" s="27" t="s">
        <v>75</v>
      </c>
      <c r="D112" s="27" t="s">
        <v>109</v>
      </c>
    </row>
    <row r="113" spans="1:4">
      <c r="A113" s="27" t="s">
        <v>109</v>
      </c>
      <c r="B113" s="27">
        <v>13</v>
      </c>
      <c r="C113" s="27" t="s">
        <v>72</v>
      </c>
      <c r="D113" s="27" t="s">
        <v>109</v>
      </c>
    </row>
    <row r="114" spans="1:4">
      <c r="A114" s="27" t="s">
        <v>109</v>
      </c>
      <c r="B114" s="27">
        <v>13</v>
      </c>
      <c r="C114" s="27" t="s">
        <v>72</v>
      </c>
      <c r="D114" s="27" t="s">
        <v>109</v>
      </c>
    </row>
    <row r="115" spans="1:4">
      <c r="A115" s="27" t="s">
        <v>109</v>
      </c>
      <c r="B115" s="27">
        <v>13</v>
      </c>
      <c r="C115" s="27" t="s">
        <v>72</v>
      </c>
      <c r="D115" s="27" t="s">
        <v>109</v>
      </c>
    </row>
    <row r="116" spans="1:4">
      <c r="A116" s="27" t="s">
        <v>109</v>
      </c>
      <c r="B116" s="27">
        <v>13</v>
      </c>
      <c r="C116" s="27" t="s">
        <v>108</v>
      </c>
      <c r="D116" s="27" t="s">
        <v>109</v>
      </c>
    </row>
    <row r="117" spans="1:4">
      <c r="A117" s="27" t="s">
        <v>109</v>
      </c>
      <c r="B117" s="27">
        <v>13</v>
      </c>
      <c r="C117" s="27" t="s">
        <v>108</v>
      </c>
      <c r="D117" s="27" t="s">
        <v>109</v>
      </c>
    </row>
    <row r="118" spans="1:4">
      <c r="A118" s="27" t="s">
        <v>109</v>
      </c>
      <c r="B118" s="27">
        <v>13</v>
      </c>
      <c r="C118" s="27" t="s">
        <v>108</v>
      </c>
      <c r="D118" s="27" t="s">
        <v>109</v>
      </c>
    </row>
    <row r="119" spans="1:4">
      <c r="A119" s="27" t="s">
        <v>107</v>
      </c>
      <c r="B119" s="27">
        <v>14</v>
      </c>
      <c r="C119" s="27" t="s">
        <v>75</v>
      </c>
      <c r="D119" s="27" t="s">
        <v>107</v>
      </c>
    </row>
    <row r="120" spans="1:4">
      <c r="A120" s="27" t="s">
        <v>107</v>
      </c>
      <c r="B120" s="27">
        <v>14</v>
      </c>
      <c r="C120" s="27" t="s">
        <v>75</v>
      </c>
      <c r="D120" s="27" t="s">
        <v>107</v>
      </c>
    </row>
    <row r="121" spans="1:4">
      <c r="A121" s="27" t="s">
        <v>107</v>
      </c>
      <c r="B121" s="27">
        <v>14</v>
      </c>
      <c r="C121" s="27" t="s">
        <v>75</v>
      </c>
      <c r="D121" s="27" t="s">
        <v>107</v>
      </c>
    </row>
    <row r="122" spans="1:4">
      <c r="A122" s="27" t="s">
        <v>107</v>
      </c>
      <c r="B122" s="27">
        <v>14</v>
      </c>
      <c r="C122" s="27" t="s">
        <v>72</v>
      </c>
      <c r="D122" s="27" t="s">
        <v>107</v>
      </c>
    </row>
    <row r="123" spans="1:4">
      <c r="A123" s="27" t="s">
        <v>107</v>
      </c>
      <c r="B123" s="27">
        <v>14</v>
      </c>
      <c r="C123" s="27" t="s">
        <v>72</v>
      </c>
      <c r="D123" s="27" t="s">
        <v>107</v>
      </c>
    </row>
    <row r="124" spans="1:4">
      <c r="A124" s="27" t="s">
        <v>107</v>
      </c>
      <c r="B124" s="27">
        <v>14</v>
      </c>
      <c r="C124" s="27" t="s">
        <v>72</v>
      </c>
      <c r="D124" s="27" t="s">
        <v>107</v>
      </c>
    </row>
    <row r="125" spans="1:4">
      <c r="A125" s="27" t="s">
        <v>107</v>
      </c>
      <c r="B125" s="27">
        <v>14</v>
      </c>
      <c r="C125" s="27" t="s">
        <v>108</v>
      </c>
      <c r="D125" s="27" t="s">
        <v>107</v>
      </c>
    </row>
    <row r="126" spans="1:4">
      <c r="A126" s="27" t="s">
        <v>107</v>
      </c>
      <c r="B126" s="27">
        <v>14</v>
      </c>
      <c r="C126" s="27" t="s">
        <v>108</v>
      </c>
      <c r="D126" s="27" t="s">
        <v>107</v>
      </c>
    </row>
    <row r="127" spans="1:4">
      <c r="A127" s="27" t="s">
        <v>107</v>
      </c>
      <c r="B127" s="27">
        <v>14</v>
      </c>
      <c r="C127" s="27" t="s">
        <v>108</v>
      </c>
      <c r="D127" s="27" t="s">
        <v>107</v>
      </c>
    </row>
    <row r="128" spans="1:4">
      <c r="A128" s="27" t="s">
        <v>109</v>
      </c>
      <c r="B128" s="27">
        <v>15</v>
      </c>
      <c r="C128" s="27" t="s">
        <v>75</v>
      </c>
      <c r="D128" s="27" t="s">
        <v>109</v>
      </c>
    </row>
    <row r="129" spans="1:4">
      <c r="A129" s="27" t="s">
        <v>109</v>
      </c>
      <c r="B129" s="27">
        <v>15</v>
      </c>
      <c r="C129" s="27" t="s">
        <v>75</v>
      </c>
      <c r="D129" s="27" t="s">
        <v>109</v>
      </c>
    </row>
    <row r="130" spans="1:4">
      <c r="A130" s="27" t="s">
        <v>109</v>
      </c>
      <c r="B130" s="27">
        <v>15</v>
      </c>
      <c r="C130" s="27" t="s">
        <v>75</v>
      </c>
      <c r="D130" s="27" t="s">
        <v>109</v>
      </c>
    </row>
    <row r="131" spans="1:4">
      <c r="A131" s="27" t="s">
        <v>109</v>
      </c>
      <c r="B131" s="27">
        <v>15</v>
      </c>
      <c r="C131" s="27" t="s">
        <v>72</v>
      </c>
      <c r="D131" s="27" t="s">
        <v>109</v>
      </c>
    </row>
    <row r="132" spans="1:4">
      <c r="A132" s="27" t="s">
        <v>109</v>
      </c>
      <c r="B132" s="27">
        <v>15</v>
      </c>
      <c r="C132" s="27" t="s">
        <v>72</v>
      </c>
      <c r="D132" s="27" t="s">
        <v>109</v>
      </c>
    </row>
    <row r="133" spans="1:4">
      <c r="A133" s="27" t="s">
        <v>109</v>
      </c>
      <c r="B133" s="27">
        <v>15</v>
      </c>
      <c r="C133" s="27" t="s">
        <v>72</v>
      </c>
      <c r="D133" s="27" t="s">
        <v>109</v>
      </c>
    </row>
    <row r="134" spans="1:4">
      <c r="A134" s="27" t="s">
        <v>109</v>
      </c>
      <c r="B134" s="27">
        <v>15</v>
      </c>
      <c r="C134" s="27" t="s">
        <v>108</v>
      </c>
      <c r="D134" s="27" t="s">
        <v>109</v>
      </c>
    </row>
    <row r="135" spans="1:4">
      <c r="A135" s="27" t="s">
        <v>109</v>
      </c>
      <c r="B135" s="27">
        <v>15</v>
      </c>
      <c r="C135" s="27" t="s">
        <v>108</v>
      </c>
      <c r="D135" s="27" t="s">
        <v>109</v>
      </c>
    </row>
    <row r="136" spans="1:4">
      <c r="A136" s="27" t="s">
        <v>109</v>
      </c>
      <c r="B136" s="27">
        <v>15</v>
      </c>
      <c r="C136" s="27" t="s">
        <v>108</v>
      </c>
      <c r="D136" s="27" t="s">
        <v>109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1"/>
  <sheetViews>
    <sheetView topLeftCell="A7" workbookViewId="0">
      <selection activeCell="Q17" sqref="Q17"/>
    </sheetView>
  </sheetViews>
  <sheetFormatPr defaultRowHeight="15"/>
  <sheetData>
    <row r="1" spans="1:15">
      <c r="A1" s="1" t="s">
        <v>110</v>
      </c>
      <c r="B1" s="1" t="s">
        <v>111</v>
      </c>
      <c r="C1" s="1" t="s">
        <v>112</v>
      </c>
      <c r="D1" s="1" t="s">
        <v>113</v>
      </c>
      <c r="F1" t="s">
        <v>114</v>
      </c>
    </row>
    <row r="2" spans="1:15">
      <c r="A2" s="1">
        <v>1</v>
      </c>
      <c r="B2" s="1">
        <v>1</v>
      </c>
      <c r="C2" s="1">
        <v>3</v>
      </c>
      <c r="D2" s="1">
        <v>3</v>
      </c>
      <c r="F2" s="83" t="s">
        <v>115</v>
      </c>
      <c r="G2" s="84" t="s">
        <v>116</v>
      </c>
      <c r="H2" s="83" t="s">
        <v>117</v>
      </c>
      <c r="I2" s="83"/>
      <c r="J2" s="83" t="s">
        <v>117</v>
      </c>
      <c r="K2" s="83"/>
      <c r="L2" s="83" t="s">
        <v>118</v>
      </c>
      <c r="M2" s="83"/>
      <c r="N2" s="83" t="s">
        <v>119</v>
      </c>
      <c r="O2" s="83"/>
    </row>
    <row r="3" spans="1:15">
      <c r="A3" s="1">
        <v>1</v>
      </c>
      <c r="B3" s="1">
        <v>1</v>
      </c>
      <c r="C3" s="1">
        <v>3</v>
      </c>
      <c r="D3" s="1">
        <v>3</v>
      </c>
      <c r="F3" s="83"/>
      <c r="G3" s="85"/>
      <c r="H3" s="28" t="s">
        <v>120</v>
      </c>
      <c r="I3" s="28" t="s">
        <v>121</v>
      </c>
      <c r="J3" s="28" t="s">
        <v>121</v>
      </c>
      <c r="K3" s="28" t="s">
        <v>121</v>
      </c>
      <c r="L3" s="28" t="s">
        <v>120</v>
      </c>
      <c r="M3" s="28" t="s">
        <v>121</v>
      </c>
      <c r="N3" s="28" t="s">
        <v>120</v>
      </c>
      <c r="O3" s="28" t="s">
        <v>121</v>
      </c>
    </row>
    <row r="4" spans="1:15">
      <c r="A4" s="1">
        <v>2</v>
      </c>
      <c r="B4" s="1">
        <v>1</v>
      </c>
      <c r="C4" s="1">
        <v>3</v>
      </c>
      <c r="D4" s="1">
        <v>3</v>
      </c>
      <c r="F4" s="9">
        <v>1</v>
      </c>
      <c r="G4" s="9">
        <v>3</v>
      </c>
      <c r="H4" s="9">
        <v>3</v>
      </c>
      <c r="I4" s="9">
        <v>3</v>
      </c>
      <c r="J4" s="9">
        <v>3</v>
      </c>
      <c r="K4" s="9">
        <v>3</v>
      </c>
      <c r="L4" s="9">
        <v>3</v>
      </c>
      <c r="M4" s="9">
        <v>3</v>
      </c>
      <c r="N4" s="9">
        <v>5</v>
      </c>
      <c r="O4" s="9">
        <v>3</v>
      </c>
    </row>
    <row r="5" spans="1:15">
      <c r="A5" s="1">
        <v>2</v>
      </c>
      <c r="B5" s="1">
        <v>1</v>
      </c>
      <c r="C5" s="1">
        <v>3</v>
      </c>
      <c r="D5" s="1">
        <v>3</v>
      </c>
      <c r="F5" s="9">
        <v>2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2</v>
      </c>
      <c r="M5" s="9">
        <v>2</v>
      </c>
      <c r="N5" s="9">
        <v>1</v>
      </c>
      <c r="O5" s="9">
        <v>1</v>
      </c>
    </row>
    <row r="6" spans="1:15">
      <c r="A6" s="1">
        <v>3</v>
      </c>
      <c r="B6" s="1">
        <v>1</v>
      </c>
      <c r="C6" s="1">
        <v>3</v>
      </c>
      <c r="D6" s="1">
        <v>3</v>
      </c>
      <c r="F6" s="9">
        <v>3</v>
      </c>
      <c r="G6" s="9">
        <v>2</v>
      </c>
      <c r="H6" s="9">
        <v>2</v>
      </c>
      <c r="I6" s="9">
        <v>2</v>
      </c>
      <c r="J6" s="9">
        <v>2</v>
      </c>
      <c r="K6" s="9">
        <v>2</v>
      </c>
      <c r="L6" s="9">
        <v>2</v>
      </c>
      <c r="M6" s="9">
        <v>2</v>
      </c>
      <c r="N6" s="9">
        <v>2</v>
      </c>
      <c r="O6" s="9">
        <v>2</v>
      </c>
    </row>
    <row r="7" spans="1:15">
      <c r="A7" s="1">
        <v>3</v>
      </c>
      <c r="B7" s="1">
        <v>1</v>
      </c>
      <c r="C7" s="1">
        <v>3</v>
      </c>
      <c r="D7" s="1">
        <v>3</v>
      </c>
      <c r="F7" s="9">
        <v>4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</row>
    <row r="8" spans="1:15">
      <c r="A8" s="1">
        <v>4</v>
      </c>
      <c r="B8" s="1">
        <v>1</v>
      </c>
      <c r="C8" s="1">
        <v>5</v>
      </c>
      <c r="D8" s="1">
        <v>3</v>
      </c>
      <c r="F8" s="9">
        <v>5</v>
      </c>
      <c r="G8" s="9">
        <v>4</v>
      </c>
      <c r="H8" s="9">
        <v>4</v>
      </c>
      <c r="I8" s="9">
        <v>4</v>
      </c>
      <c r="J8" s="9">
        <v>4</v>
      </c>
      <c r="K8" s="9">
        <v>4</v>
      </c>
      <c r="L8" s="9">
        <v>4</v>
      </c>
      <c r="M8" s="9">
        <v>4</v>
      </c>
      <c r="N8" s="9">
        <v>4</v>
      </c>
      <c r="O8" s="9">
        <v>4</v>
      </c>
    </row>
    <row r="9" spans="1:15">
      <c r="A9" s="1">
        <v>4</v>
      </c>
      <c r="B9" s="1">
        <v>1</v>
      </c>
      <c r="C9" s="1">
        <v>3</v>
      </c>
      <c r="D9" s="1">
        <v>3</v>
      </c>
      <c r="F9" s="9">
        <v>6</v>
      </c>
      <c r="G9" s="9">
        <v>2</v>
      </c>
      <c r="H9" s="9">
        <v>2</v>
      </c>
      <c r="I9" s="9">
        <v>2</v>
      </c>
      <c r="J9" s="9">
        <v>3</v>
      </c>
      <c r="K9" s="9">
        <v>3</v>
      </c>
      <c r="L9" s="9">
        <v>2</v>
      </c>
      <c r="M9" s="9">
        <v>2</v>
      </c>
      <c r="N9" s="9">
        <v>2</v>
      </c>
      <c r="O9" s="9">
        <v>2</v>
      </c>
    </row>
    <row r="10" spans="1:15">
      <c r="A10" s="1">
        <v>1</v>
      </c>
      <c r="B10" s="1">
        <v>2</v>
      </c>
      <c r="C10" s="1">
        <v>1</v>
      </c>
      <c r="D10" s="1">
        <v>1</v>
      </c>
      <c r="F10" s="9">
        <v>7</v>
      </c>
      <c r="G10" s="9">
        <v>5</v>
      </c>
      <c r="H10" s="9">
        <v>4</v>
      </c>
      <c r="I10" s="9">
        <v>4</v>
      </c>
      <c r="J10" s="9">
        <v>5</v>
      </c>
      <c r="K10" s="9">
        <v>5</v>
      </c>
      <c r="L10" s="9">
        <v>5</v>
      </c>
      <c r="M10" s="9">
        <v>5</v>
      </c>
      <c r="N10" s="9">
        <v>5</v>
      </c>
      <c r="O10" s="9">
        <v>5</v>
      </c>
    </row>
    <row r="11" spans="1:15">
      <c r="A11" s="1">
        <v>1</v>
      </c>
      <c r="B11" s="1">
        <v>2</v>
      </c>
      <c r="C11" s="1">
        <v>1</v>
      </c>
      <c r="D11" s="1">
        <v>1</v>
      </c>
      <c r="F11" s="9">
        <v>8</v>
      </c>
      <c r="G11" s="9">
        <v>2</v>
      </c>
      <c r="H11" s="9">
        <v>2</v>
      </c>
      <c r="I11" s="9">
        <v>2</v>
      </c>
      <c r="J11" s="9">
        <v>2</v>
      </c>
      <c r="K11" s="9">
        <v>2</v>
      </c>
      <c r="L11" s="9">
        <v>2</v>
      </c>
      <c r="M11" s="9">
        <v>2</v>
      </c>
      <c r="N11" s="9">
        <v>2</v>
      </c>
      <c r="O11" s="9">
        <v>2</v>
      </c>
    </row>
    <row r="12" spans="1:15">
      <c r="A12" s="1">
        <v>2</v>
      </c>
      <c r="B12" s="1">
        <v>2</v>
      </c>
      <c r="C12" s="1">
        <v>1</v>
      </c>
      <c r="D12" s="1">
        <v>1</v>
      </c>
      <c r="F12" s="9">
        <v>9</v>
      </c>
      <c r="G12" s="9">
        <v>3</v>
      </c>
      <c r="H12" s="9">
        <v>3</v>
      </c>
      <c r="I12" s="9">
        <v>3</v>
      </c>
      <c r="J12" s="9">
        <v>3</v>
      </c>
      <c r="K12" s="9">
        <v>3</v>
      </c>
      <c r="L12" s="9">
        <v>3</v>
      </c>
      <c r="M12" s="9">
        <v>3</v>
      </c>
      <c r="N12" s="9">
        <v>3</v>
      </c>
      <c r="O12" s="9">
        <v>5</v>
      </c>
    </row>
    <row r="13" spans="1:15">
      <c r="A13" s="1">
        <v>2</v>
      </c>
      <c r="B13" s="1">
        <v>2</v>
      </c>
      <c r="C13" s="1">
        <v>1</v>
      </c>
      <c r="D13" s="1">
        <v>1</v>
      </c>
      <c r="F13" s="9">
        <v>10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2</v>
      </c>
      <c r="N13" s="9">
        <v>1</v>
      </c>
      <c r="O13" s="9">
        <v>1</v>
      </c>
    </row>
    <row r="14" spans="1:15">
      <c r="A14" s="1">
        <v>3</v>
      </c>
      <c r="B14" s="1">
        <v>2</v>
      </c>
      <c r="C14" s="1">
        <v>2</v>
      </c>
      <c r="D14" s="1">
        <v>1</v>
      </c>
      <c r="F14" s="9">
        <v>11</v>
      </c>
      <c r="G14" s="9">
        <v>4</v>
      </c>
      <c r="H14" s="9">
        <v>4</v>
      </c>
      <c r="I14" s="9">
        <v>4</v>
      </c>
      <c r="J14" s="9">
        <v>4</v>
      </c>
      <c r="K14" s="9">
        <v>4</v>
      </c>
      <c r="L14" s="9">
        <v>4</v>
      </c>
      <c r="M14" s="9">
        <v>4</v>
      </c>
      <c r="N14" s="9">
        <v>4</v>
      </c>
      <c r="O14" s="9">
        <v>4</v>
      </c>
    </row>
    <row r="15" spans="1:15">
      <c r="A15" s="1">
        <v>3</v>
      </c>
      <c r="B15" s="1">
        <v>2</v>
      </c>
      <c r="C15" s="1">
        <v>1</v>
      </c>
      <c r="D15" s="1">
        <v>1</v>
      </c>
      <c r="F15" s="9">
        <v>12</v>
      </c>
      <c r="G15" s="9">
        <v>3</v>
      </c>
      <c r="H15" s="9">
        <v>4</v>
      </c>
      <c r="I15" s="9">
        <v>3</v>
      </c>
      <c r="J15" s="9">
        <v>3</v>
      </c>
      <c r="K15" s="9">
        <v>3</v>
      </c>
      <c r="L15" s="9">
        <v>3</v>
      </c>
      <c r="M15" s="9">
        <v>3</v>
      </c>
      <c r="N15" s="9">
        <v>3</v>
      </c>
      <c r="O15" s="9">
        <v>3</v>
      </c>
    </row>
    <row r="16" spans="1:15">
      <c r="A16" s="1">
        <v>4</v>
      </c>
      <c r="B16" s="1">
        <v>2</v>
      </c>
      <c r="C16" s="1">
        <v>1</v>
      </c>
      <c r="D16" s="1">
        <v>1</v>
      </c>
      <c r="F16" s="9">
        <v>13</v>
      </c>
      <c r="G16" s="9">
        <v>2</v>
      </c>
      <c r="H16" s="9">
        <v>2</v>
      </c>
      <c r="I16" s="9">
        <v>2</v>
      </c>
      <c r="J16" s="9">
        <v>3</v>
      </c>
      <c r="K16" s="9">
        <v>3</v>
      </c>
      <c r="L16" s="9">
        <v>2</v>
      </c>
      <c r="M16" s="9">
        <v>2</v>
      </c>
      <c r="N16" s="9">
        <v>2</v>
      </c>
      <c r="O16" s="9">
        <v>2</v>
      </c>
    </row>
    <row r="17" spans="1:15">
      <c r="A17" s="1">
        <v>4</v>
      </c>
      <c r="B17" s="1">
        <v>2</v>
      </c>
      <c r="C17" s="1">
        <v>1</v>
      </c>
      <c r="D17" s="1">
        <v>1</v>
      </c>
      <c r="F17" s="9">
        <v>14</v>
      </c>
      <c r="G17" s="9">
        <v>5</v>
      </c>
      <c r="H17" s="9">
        <v>5</v>
      </c>
      <c r="I17" s="9">
        <v>5</v>
      </c>
      <c r="J17" s="9">
        <v>5</v>
      </c>
      <c r="K17" s="9">
        <v>5</v>
      </c>
      <c r="L17" s="9">
        <v>5</v>
      </c>
      <c r="M17" s="9">
        <v>5</v>
      </c>
      <c r="N17" s="9">
        <v>5</v>
      </c>
      <c r="O17" s="9">
        <v>4</v>
      </c>
    </row>
    <row r="18" spans="1:15">
      <c r="A18" s="1">
        <v>1</v>
      </c>
      <c r="B18" s="1">
        <v>3</v>
      </c>
      <c r="C18" s="1">
        <v>2</v>
      </c>
      <c r="D18" s="1">
        <v>2</v>
      </c>
      <c r="F18" s="9">
        <v>15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2</v>
      </c>
      <c r="N18" s="9">
        <v>1</v>
      </c>
      <c r="O18" s="9">
        <v>1</v>
      </c>
    </row>
    <row r="19" spans="1:15">
      <c r="A19" s="1">
        <v>1</v>
      </c>
      <c r="B19" s="1">
        <v>3</v>
      </c>
      <c r="C19" s="1">
        <v>2</v>
      </c>
      <c r="D19" s="1">
        <v>2</v>
      </c>
      <c r="F19" s="9">
        <v>16</v>
      </c>
      <c r="G19" s="9">
        <v>3</v>
      </c>
      <c r="H19" s="9">
        <v>3</v>
      </c>
      <c r="I19" s="9">
        <v>3</v>
      </c>
      <c r="J19" s="9">
        <v>4</v>
      </c>
      <c r="K19" s="9">
        <v>4</v>
      </c>
      <c r="L19" s="9">
        <v>3</v>
      </c>
      <c r="M19" s="9">
        <v>3</v>
      </c>
      <c r="N19" s="9">
        <v>3</v>
      </c>
      <c r="O19" s="9">
        <v>3</v>
      </c>
    </row>
    <row r="20" spans="1:15">
      <c r="A20" s="1">
        <v>2</v>
      </c>
      <c r="B20" s="1">
        <v>3</v>
      </c>
      <c r="C20" s="1">
        <v>2</v>
      </c>
      <c r="D20" s="1">
        <v>2</v>
      </c>
      <c r="F20" s="9">
        <v>17</v>
      </c>
      <c r="G20" s="9">
        <v>2</v>
      </c>
      <c r="H20" s="9">
        <v>2</v>
      </c>
      <c r="I20" s="9">
        <v>2</v>
      </c>
      <c r="J20" s="9">
        <v>2</v>
      </c>
      <c r="K20" s="9">
        <v>2</v>
      </c>
      <c r="L20" s="9">
        <v>2</v>
      </c>
      <c r="M20" s="9">
        <v>2</v>
      </c>
      <c r="N20" s="9">
        <v>2</v>
      </c>
      <c r="O20" s="9">
        <v>2</v>
      </c>
    </row>
    <row r="21" spans="1:15">
      <c r="A21" s="1">
        <v>2</v>
      </c>
      <c r="B21" s="1">
        <v>3</v>
      </c>
      <c r="C21" s="1">
        <v>2</v>
      </c>
      <c r="D21" s="1">
        <v>2</v>
      </c>
      <c r="F21" s="9">
        <v>18</v>
      </c>
      <c r="G21" s="9">
        <v>4</v>
      </c>
      <c r="H21" s="9">
        <v>4</v>
      </c>
      <c r="I21" s="9">
        <v>4</v>
      </c>
      <c r="J21" s="9">
        <v>4</v>
      </c>
      <c r="K21" s="9">
        <v>4</v>
      </c>
      <c r="L21" s="9">
        <v>4</v>
      </c>
      <c r="M21" s="9">
        <v>4</v>
      </c>
      <c r="N21" s="9">
        <v>4</v>
      </c>
      <c r="O21" s="9">
        <v>5</v>
      </c>
    </row>
    <row r="22" spans="1:15">
      <c r="A22" s="1">
        <v>3</v>
      </c>
      <c r="B22" s="1">
        <v>3</v>
      </c>
      <c r="C22" s="1">
        <v>2</v>
      </c>
      <c r="D22" s="1">
        <v>2</v>
      </c>
      <c r="F22" s="9">
        <v>19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</row>
    <row r="23" spans="1:15">
      <c r="A23" s="1">
        <v>3</v>
      </c>
      <c r="B23" s="1">
        <v>3</v>
      </c>
      <c r="C23" s="1">
        <v>2</v>
      </c>
      <c r="D23" s="1">
        <v>2</v>
      </c>
      <c r="F23" s="9">
        <v>20</v>
      </c>
      <c r="G23" s="9">
        <v>2</v>
      </c>
      <c r="H23" s="9">
        <v>2</v>
      </c>
      <c r="I23" s="9">
        <v>2</v>
      </c>
      <c r="J23" s="9">
        <v>2</v>
      </c>
      <c r="K23" s="9">
        <v>2</v>
      </c>
      <c r="L23" s="9">
        <v>1</v>
      </c>
      <c r="M23" s="9">
        <v>2</v>
      </c>
      <c r="N23" s="9">
        <v>2</v>
      </c>
      <c r="O23" s="9">
        <v>2</v>
      </c>
    </row>
    <row r="24" spans="1:15">
      <c r="A24" s="1">
        <v>4</v>
      </c>
      <c r="B24" s="1">
        <v>3</v>
      </c>
      <c r="C24" s="1">
        <v>2</v>
      </c>
      <c r="D24" s="1">
        <v>2</v>
      </c>
    </row>
    <row r="25" spans="1:15">
      <c r="A25" s="1">
        <v>4</v>
      </c>
      <c r="B25" s="1">
        <v>3</v>
      </c>
      <c r="C25" s="1">
        <v>2</v>
      </c>
      <c r="D25" s="1">
        <v>2</v>
      </c>
    </row>
    <row r="26" spans="1:15">
      <c r="A26" s="1">
        <v>1</v>
      </c>
      <c r="B26" s="1">
        <v>4</v>
      </c>
      <c r="C26" s="1">
        <v>1</v>
      </c>
      <c r="D26" s="1">
        <v>1</v>
      </c>
    </row>
    <row r="27" spans="1:15">
      <c r="A27" s="1">
        <v>1</v>
      </c>
      <c r="B27" s="1">
        <v>4</v>
      </c>
      <c r="C27" s="1">
        <v>1</v>
      </c>
      <c r="D27" s="1">
        <v>1</v>
      </c>
    </row>
    <row r="28" spans="1:15">
      <c r="A28" s="1">
        <v>2</v>
      </c>
      <c r="B28" s="1">
        <v>4</v>
      </c>
      <c r="C28" s="1">
        <v>1</v>
      </c>
      <c r="D28" s="1">
        <v>1</v>
      </c>
    </row>
    <row r="29" spans="1:15">
      <c r="A29" s="1">
        <v>2</v>
      </c>
      <c r="B29" s="1">
        <v>4</v>
      </c>
      <c r="C29" s="1">
        <v>1</v>
      </c>
      <c r="D29" s="1">
        <v>1</v>
      </c>
    </row>
    <row r="30" spans="1:15">
      <c r="A30" s="1">
        <v>3</v>
      </c>
      <c r="B30" s="1">
        <v>4</v>
      </c>
      <c r="C30" s="1">
        <v>1</v>
      </c>
      <c r="D30" s="1">
        <v>1</v>
      </c>
    </row>
    <row r="31" spans="1:15">
      <c r="A31" s="1">
        <v>3</v>
      </c>
      <c r="B31" s="1">
        <v>4</v>
      </c>
      <c r="C31" s="1">
        <v>1</v>
      </c>
      <c r="D31" s="1">
        <v>1</v>
      </c>
    </row>
    <row r="32" spans="1:15">
      <c r="A32" s="1">
        <v>4</v>
      </c>
      <c r="B32" s="1">
        <v>4</v>
      </c>
      <c r="C32" s="1">
        <v>1</v>
      </c>
      <c r="D32" s="1">
        <v>1</v>
      </c>
    </row>
    <row r="33" spans="1:4">
      <c r="A33" s="1">
        <v>4</v>
      </c>
      <c r="B33" s="1">
        <v>4</v>
      </c>
      <c r="C33" s="1">
        <v>1</v>
      </c>
      <c r="D33" s="1">
        <v>1</v>
      </c>
    </row>
    <row r="34" spans="1:4">
      <c r="A34" s="1">
        <v>1</v>
      </c>
      <c r="B34" s="1">
        <v>5</v>
      </c>
      <c r="C34" s="1">
        <v>4</v>
      </c>
      <c r="D34" s="1">
        <v>4</v>
      </c>
    </row>
    <row r="35" spans="1:4">
      <c r="A35" s="1">
        <v>1</v>
      </c>
      <c r="B35" s="1">
        <v>5</v>
      </c>
      <c r="C35" s="1">
        <v>4</v>
      </c>
      <c r="D35" s="1">
        <v>4</v>
      </c>
    </row>
    <row r="36" spans="1:4">
      <c r="A36" s="1">
        <v>2</v>
      </c>
      <c r="B36" s="1">
        <v>5</v>
      </c>
      <c r="C36" s="1">
        <v>4</v>
      </c>
      <c r="D36" s="1">
        <v>4</v>
      </c>
    </row>
    <row r="37" spans="1:4">
      <c r="A37" s="1">
        <v>2</v>
      </c>
      <c r="B37" s="1">
        <v>5</v>
      </c>
      <c r="C37" s="1">
        <v>4</v>
      </c>
      <c r="D37" s="1">
        <v>4</v>
      </c>
    </row>
    <row r="38" spans="1:4">
      <c r="A38" s="1">
        <v>3</v>
      </c>
      <c r="B38" s="1">
        <v>5</v>
      </c>
      <c r="C38" s="1">
        <v>4</v>
      </c>
      <c r="D38" s="1">
        <v>4</v>
      </c>
    </row>
    <row r="39" spans="1:4">
      <c r="A39" s="1">
        <v>3</v>
      </c>
      <c r="B39" s="1">
        <v>5</v>
      </c>
      <c r="C39" s="1">
        <v>4</v>
      </c>
      <c r="D39" s="1">
        <v>4</v>
      </c>
    </row>
    <row r="40" spans="1:4">
      <c r="A40" s="1">
        <v>4</v>
      </c>
      <c r="B40" s="1">
        <v>5</v>
      </c>
      <c r="C40" s="1">
        <v>4</v>
      </c>
      <c r="D40" s="1">
        <v>4</v>
      </c>
    </row>
    <row r="41" spans="1:4">
      <c r="A41" s="1">
        <v>4</v>
      </c>
      <c r="B41" s="1">
        <v>5</v>
      </c>
      <c r="C41" s="1">
        <v>4</v>
      </c>
      <c r="D41" s="1">
        <v>4</v>
      </c>
    </row>
    <row r="42" spans="1:4">
      <c r="A42" s="1">
        <v>1</v>
      </c>
      <c r="B42" s="1">
        <v>6</v>
      </c>
      <c r="C42" s="1">
        <v>2</v>
      </c>
      <c r="D42" s="1">
        <v>2</v>
      </c>
    </row>
    <row r="43" spans="1:4">
      <c r="A43" s="1">
        <v>1</v>
      </c>
      <c r="B43" s="1">
        <v>6</v>
      </c>
      <c r="C43" s="1">
        <v>2</v>
      </c>
      <c r="D43" s="1">
        <v>2</v>
      </c>
    </row>
    <row r="44" spans="1:4">
      <c r="A44" s="1">
        <v>2</v>
      </c>
      <c r="B44" s="1">
        <v>6</v>
      </c>
      <c r="C44" s="1">
        <v>3</v>
      </c>
      <c r="D44" s="1">
        <v>2</v>
      </c>
    </row>
    <row r="45" spans="1:4">
      <c r="A45" s="1">
        <v>2</v>
      </c>
      <c r="B45" s="1">
        <v>6</v>
      </c>
      <c r="C45" s="1">
        <v>3</v>
      </c>
      <c r="D45" s="1">
        <v>2</v>
      </c>
    </row>
    <row r="46" spans="1:4">
      <c r="A46" s="1">
        <v>3</v>
      </c>
      <c r="B46" s="1">
        <v>6</v>
      </c>
      <c r="C46" s="1">
        <v>2</v>
      </c>
      <c r="D46" s="1">
        <v>2</v>
      </c>
    </row>
    <row r="47" spans="1:4">
      <c r="A47" s="1">
        <v>3</v>
      </c>
      <c r="B47" s="1">
        <v>6</v>
      </c>
      <c r="C47" s="1">
        <v>2</v>
      </c>
      <c r="D47" s="1">
        <v>2</v>
      </c>
    </row>
    <row r="48" spans="1:4">
      <c r="A48" s="1">
        <v>4</v>
      </c>
      <c r="B48" s="1">
        <v>6</v>
      </c>
      <c r="C48" s="1">
        <v>2</v>
      </c>
      <c r="D48" s="1">
        <v>2</v>
      </c>
    </row>
    <row r="49" spans="1:4">
      <c r="A49" s="1">
        <v>4</v>
      </c>
      <c r="B49" s="1">
        <v>6</v>
      </c>
      <c r="C49" s="1">
        <v>2</v>
      </c>
      <c r="D49" s="1">
        <v>2</v>
      </c>
    </row>
    <row r="50" spans="1:4">
      <c r="A50" s="1">
        <v>1</v>
      </c>
      <c r="B50" s="1">
        <v>7</v>
      </c>
      <c r="C50" s="1">
        <v>4</v>
      </c>
      <c r="D50" s="1">
        <v>5</v>
      </c>
    </row>
    <row r="51" spans="1:4">
      <c r="A51" s="1">
        <v>1</v>
      </c>
      <c r="B51" s="1">
        <v>7</v>
      </c>
      <c r="C51" s="1">
        <v>4</v>
      </c>
      <c r="D51" s="1">
        <v>5</v>
      </c>
    </row>
    <row r="52" spans="1:4">
      <c r="A52" s="1">
        <v>2</v>
      </c>
      <c r="B52" s="1">
        <v>7</v>
      </c>
      <c r="C52" s="1">
        <v>5</v>
      </c>
      <c r="D52" s="1">
        <v>5</v>
      </c>
    </row>
    <row r="53" spans="1:4">
      <c r="A53" s="1">
        <v>2</v>
      </c>
      <c r="B53" s="1">
        <v>7</v>
      </c>
      <c r="C53" s="1">
        <v>5</v>
      </c>
      <c r="D53" s="1">
        <v>5</v>
      </c>
    </row>
    <row r="54" spans="1:4">
      <c r="A54" s="1">
        <v>3</v>
      </c>
      <c r="B54" s="1">
        <v>7</v>
      </c>
      <c r="C54" s="1">
        <v>5</v>
      </c>
      <c r="D54" s="1">
        <v>5</v>
      </c>
    </row>
    <row r="55" spans="1:4">
      <c r="A55" s="1">
        <v>3</v>
      </c>
      <c r="B55" s="1">
        <v>7</v>
      </c>
      <c r="C55" s="1">
        <v>5</v>
      </c>
      <c r="D55" s="1">
        <v>5</v>
      </c>
    </row>
    <row r="56" spans="1:4">
      <c r="A56" s="1">
        <v>4</v>
      </c>
      <c r="B56" s="1">
        <v>7</v>
      </c>
      <c r="C56" s="1">
        <v>5</v>
      </c>
      <c r="D56" s="1">
        <v>5</v>
      </c>
    </row>
    <row r="57" spans="1:4">
      <c r="A57" s="1">
        <v>4</v>
      </c>
      <c r="B57" s="1">
        <v>7</v>
      </c>
      <c r="C57" s="1">
        <v>5</v>
      </c>
      <c r="D57" s="1">
        <v>5</v>
      </c>
    </row>
    <row r="58" spans="1:4">
      <c r="A58" s="1">
        <v>1</v>
      </c>
      <c r="B58" s="1">
        <v>8</v>
      </c>
      <c r="C58" s="1">
        <v>2</v>
      </c>
      <c r="D58" s="1">
        <v>2</v>
      </c>
    </row>
    <row r="59" spans="1:4">
      <c r="A59" s="1">
        <v>1</v>
      </c>
      <c r="B59" s="1">
        <v>8</v>
      </c>
      <c r="C59" s="1">
        <v>2</v>
      </c>
      <c r="D59" s="1">
        <v>2</v>
      </c>
    </row>
    <row r="60" spans="1:4">
      <c r="A60" s="1">
        <v>2</v>
      </c>
      <c r="B60" s="1">
        <v>8</v>
      </c>
      <c r="C60" s="1">
        <v>2</v>
      </c>
      <c r="D60" s="1">
        <v>2</v>
      </c>
    </row>
    <row r="61" spans="1:4">
      <c r="A61" s="1">
        <v>2</v>
      </c>
      <c r="B61" s="1">
        <v>8</v>
      </c>
      <c r="C61" s="1">
        <v>2</v>
      </c>
      <c r="D61" s="1">
        <v>2</v>
      </c>
    </row>
    <row r="62" spans="1:4">
      <c r="A62" s="1">
        <v>3</v>
      </c>
      <c r="B62" s="1">
        <v>8</v>
      </c>
      <c r="C62" s="1">
        <v>2</v>
      </c>
      <c r="D62" s="1">
        <v>2</v>
      </c>
    </row>
    <row r="63" spans="1:4">
      <c r="A63" s="1">
        <v>3</v>
      </c>
      <c r="B63" s="1">
        <v>8</v>
      </c>
      <c r="C63" s="1">
        <v>2</v>
      </c>
      <c r="D63" s="1">
        <v>2</v>
      </c>
    </row>
    <row r="64" spans="1:4">
      <c r="A64" s="1">
        <v>4</v>
      </c>
      <c r="B64" s="1">
        <v>8</v>
      </c>
      <c r="C64" s="1">
        <v>2</v>
      </c>
      <c r="D64" s="1">
        <v>2</v>
      </c>
    </row>
    <row r="65" spans="1:4">
      <c r="A65" s="1">
        <v>4</v>
      </c>
      <c r="B65" s="1">
        <v>8</v>
      </c>
      <c r="C65" s="1">
        <v>2</v>
      </c>
      <c r="D65" s="1">
        <v>2</v>
      </c>
    </row>
    <row r="66" spans="1:4">
      <c r="A66" s="1">
        <v>1</v>
      </c>
      <c r="B66" s="1">
        <v>9</v>
      </c>
      <c r="C66" s="1">
        <v>3</v>
      </c>
      <c r="D66" s="1">
        <v>3</v>
      </c>
    </row>
    <row r="67" spans="1:4">
      <c r="A67" s="1">
        <v>1</v>
      </c>
      <c r="B67" s="1">
        <v>9</v>
      </c>
      <c r="C67" s="1">
        <v>3</v>
      </c>
      <c r="D67" s="1">
        <v>3</v>
      </c>
    </row>
    <row r="68" spans="1:4">
      <c r="A68" s="1">
        <v>2</v>
      </c>
      <c r="B68" s="1">
        <v>9</v>
      </c>
      <c r="C68" s="1">
        <v>3</v>
      </c>
      <c r="D68" s="1">
        <v>3</v>
      </c>
    </row>
    <row r="69" spans="1:4">
      <c r="A69" s="1">
        <v>2</v>
      </c>
      <c r="B69" s="1">
        <v>9</v>
      </c>
      <c r="C69" s="1">
        <v>3</v>
      </c>
      <c r="D69" s="1">
        <v>3</v>
      </c>
    </row>
    <row r="70" spans="1:4">
      <c r="A70" s="1">
        <v>3</v>
      </c>
      <c r="B70" s="1">
        <v>9</v>
      </c>
      <c r="C70" s="1">
        <v>3</v>
      </c>
      <c r="D70" s="1">
        <v>3</v>
      </c>
    </row>
    <row r="71" spans="1:4">
      <c r="A71" s="1">
        <v>3</v>
      </c>
      <c r="B71" s="1">
        <v>9</v>
      </c>
      <c r="C71" s="1">
        <v>3</v>
      </c>
      <c r="D71" s="1">
        <v>3</v>
      </c>
    </row>
    <row r="72" spans="1:4">
      <c r="A72" s="1">
        <v>4</v>
      </c>
      <c r="B72" s="1">
        <v>9</v>
      </c>
      <c r="C72" s="1">
        <v>3</v>
      </c>
      <c r="D72" s="1">
        <v>3</v>
      </c>
    </row>
    <row r="73" spans="1:4">
      <c r="A73" s="1">
        <v>4</v>
      </c>
      <c r="B73" s="1">
        <v>9</v>
      </c>
      <c r="C73" s="1">
        <v>5</v>
      </c>
      <c r="D73" s="1">
        <v>3</v>
      </c>
    </row>
    <row r="74" spans="1:4">
      <c r="A74" s="1">
        <v>1</v>
      </c>
      <c r="B74" s="1">
        <v>10</v>
      </c>
      <c r="C74" s="1">
        <v>1</v>
      </c>
      <c r="D74" s="1">
        <v>1</v>
      </c>
    </row>
    <row r="75" spans="1:4">
      <c r="A75" s="1">
        <v>1</v>
      </c>
      <c r="B75" s="1">
        <v>10</v>
      </c>
      <c r="C75" s="1">
        <v>1</v>
      </c>
      <c r="D75" s="1">
        <v>1</v>
      </c>
    </row>
    <row r="76" spans="1:4">
      <c r="A76" s="1">
        <v>2</v>
      </c>
      <c r="B76" s="1">
        <v>10</v>
      </c>
      <c r="C76" s="1">
        <v>1</v>
      </c>
      <c r="D76" s="1">
        <v>1</v>
      </c>
    </row>
    <row r="77" spans="1:4">
      <c r="A77" s="1">
        <v>2</v>
      </c>
      <c r="B77" s="1">
        <v>10</v>
      </c>
      <c r="C77" s="1">
        <v>1</v>
      </c>
      <c r="D77" s="1">
        <v>1</v>
      </c>
    </row>
    <row r="78" spans="1:4">
      <c r="A78" s="1">
        <v>3</v>
      </c>
      <c r="B78" s="1">
        <v>10</v>
      </c>
      <c r="C78" s="1">
        <v>1</v>
      </c>
      <c r="D78" s="1">
        <v>1</v>
      </c>
    </row>
    <row r="79" spans="1:4">
      <c r="A79" s="1">
        <v>3</v>
      </c>
      <c r="B79" s="1">
        <v>10</v>
      </c>
      <c r="C79" s="1">
        <v>2</v>
      </c>
      <c r="D79" s="1">
        <v>1</v>
      </c>
    </row>
    <row r="80" spans="1:4">
      <c r="A80" s="1">
        <v>4</v>
      </c>
      <c r="B80" s="1">
        <v>10</v>
      </c>
      <c r="C80" s="1">
        <v>1</v>
      </c>
      <c r="D80" s="1">
        <v>1</v>
      </c>
    </row>
    <row r="81" spans="1:4">
      <c r="A81" s="1">
        <v>4</v>
      </c>
      <c r="B81" s="1">
        <v>10</v>
      </c>
      <c r="C81" s="1">
        <v>1</v>
      </c>
      <c r="D81" s="1">
        <v>1</v>
      </c>
    </row>
    <row r="82" spans="1:4">
      <c r="A82" s="1">
        <v>1</v>
      </c>
      <c r="B82" s="1">
        <v>11</v>
      </c>
      <c r="C82" s="1">
        <v>4</v>
      </c>
      <c r="D82" s="1">
        <v>4</v>
      </c>
    </row>
    <row r="83" spans="1:4">
      <c r="A83" s="1">
        <v>1</v>
      </c>
      <c r="B83" s="1">
        <v>11</v>
      </c>
      <c r="C83" s="1">
        <v>4</v>
      </c>
      <c r="D83" s="1">
        <v>4</v>
      </c>
    </row>
    <row r="84" spans="1:4">
      <c r="A84" s="1">
        <v>2</v>
      </c>
      <c r="B84" s="1">
        <v>11</v>
      </c>
      <c r="C84" s="1">
        <v>4</v>
      </c>
      <c r="D84" s="1">
        <v>4</v>
      </c>
    </row>
    <row r="85" spans="1:4">
      <c r="A85" s="1">
        <v>2</v>
      </c>
      <c r="B85" s="1">
        <v>11</v>
      </c>
      <c r="C85" s="1">
        <v>4</v>
      </c>
      <c r="D85" s="1">
        <v>4</v>
      </c>
    </row>
    <row r="86" spans="1:4">
      <c r="A86" s="1">
        <v>3</v>
      </c>
      <c r="B86" s="1">
        <v>11</v>
      </c>
      <c r="C86" s="1">
        <v>4</v>
      </c>
      <c r="D86" s="1">
        <v>4</v>
      </c>
    </row>
    <row r="87" spans="1:4">
      <c r="A87" s="1">
        <v>3</v>
      </c>
      <c r="B87" s="1">
        <v>11</v>
      </c>
      <c r="C87" s="1">
        <v>4</v>
      </c>
      <c r="D87" s="1">
        <v>4</v>
      </c>
    </row>
    <row r="88" spans="1:4">
      <c r="A88" s="1">
        <v>4</v>
      </c>
      <c r="B88" s="1">
        <v>11</v>
      </c>
      <c r="C88" s="1">
        <v>4</v>
      </c>
      <c r="D88" s="1">
        <v>4</v>
      </c>
    </row>
    <row r="89" spans="1:4">
      <c r="A89" s="1">
        <v>4</v>
      </c>
      <c r="B89" s="1">
        <v>11</v>
      </c>
      <c r="C89" s="1">
        <v>4</v>
      </c>
      <c r="D89" s="1">
        <v>4</v>
      </c>
    </row>
    <row r="90" spans="1:4">
      <c r="A90" s="1">
        <v>1</v>
      </c>
      <c r="B90" s="1">
        <v>12</v>
      </c>
      <c r="C90" s="1">
        <v>3</v>
      </c>
      <c r="D90" s="1">
        <v>3</v>
      </c>
    </row>
    <row r="91" spans="1:4">
      <c r="A91" s="1">
        <v>1</v>
      </c>
      <c r="B91" s="1">
        <v>12</v>
      </c>
      <c r="C91" s="1">
        <v>3</v>
      </c>
      <c r="D91" s="1">
        <v>3</v>
      </c>
    </row>
    <row r="92" spans="1:4">
      <c r="A92" s="1">
        <v>2</v>
      </c>
      <c r="B92" s="1">
        <v>12</v>
      </c>
      <c r="C92" s="1">
        <v>3</v>
      </c>
      <c r="D92" s="1">
        <v>3</v>
      </c>
    </row>
    <row r="93" spans="1:4">
      <c r="A93" s="1">
        <v>2</v>
      </c>
      <c r="B93" s="1">
        <v>12</v>
      </c>
      <c r="C93" s="1">
        <v>3</v>
      </c>
      <c r="D93" s="1">
        <v>3</v>
      </c>
    </row>
    <row r="94" spans="1:4">
      <c r="A94" s="1">
        <v>3</v>
      </c>
      <c r="B94" s="1">
        <v>12</v>
      </c>
      <c r="C94" s="1">
        <v>3</v>
      </c>
      <c r="D94" s="1">
        <v>3</v>
      </c>
    </row>
    <row r="95" spans="1:4">
      <c r="A95" s="1">
        <v>3</v>
      </c>
      <c r="B95" s="1">
        <v>12</v>
      </c>
      <c r="C95" s="1">
        <v>3</v>
      </c>
      <c r="D95" s="1">
        <v>3</v>
      </c>
    </row>
    <row r="96" spans="1:4">
      <c r="A96" s="1">
        <v>4</v>
      </c>
      <c r="B96" s="1">
        <v>12</v>
      </c>
      <c r="C96" s="1">
        <v>3</v>
      </c>
      <c r="D96" s="1">
        <v>3</v>
      </c>
    </row>
    <row r="97" spans="1:4">
      <c r="A97" s="1">
        <v>4</v>
      </c>
      <c r="B97" s="1">
        <v>12</v>
      </c>
      <c r="C97" s="1">
        <v>3</v>
      </c>
      <c r="D97" s="1">
        <v>3</v>
      </c>
    </row>
    <row r="98" spans="1:4">
      <c r="A98" s="1">
        <v>1</v>
      </c>
      <c r="B98" s="1">
        <v>13</v>
      </c>
      <c r="C98" s="1">
        <v>2</v>
      </c>
      <c r="D98" s="1">
        <v>2</v>
      </c>
    </row>
    <row r="99" spans="1:4">
      <c r="A99" s="1">
        <v>1</v>
      </c>
      <c r="B99" s="1">
        <v>13</v>
      </c>
      <c r="C99" s="1">
        <v>2</v>
      </c>
      <c r="D99" s="1">
        <v>2</v>
      </c>
    </row>
    <row r="100" spans="1:4">
      <c r="A100" s="1">
        <v>2</v>
      </c>
      <c r="B100" s="1">
        <v>13</v>
      </c>
      <c r="C100" s="1">
        <v>3</v>
      </c>
      <c r="D100" s="1">
        <v>2</v>
      </c>
    </row>
    <row r="101" spans="1:4">
      <c r="A101" s="1">
        <v>2</v>
      </c>
      <c r="B101" s="1">
        <v>13</v>
      </c>
      <c r="C101" s="1">
        <v>3</v>
      </c>
      <c r="D101" s="1">
        <v>2</v>
      </c>
    </row>
    <row r="102" spans="1:4">
      <c r="A102" s="1">
        <v>3</v>
      </c>
      <c r="B102" s="1">
        <v>13</v>
      </c>
      <c r="C102" s="1">
        <v>2</v>
      </c>
      <c r="D102" s="1">
        <v>2</v>
      </c>
    </row>
    <row r="103" spans="1:4">
      <c r="A103" s="1">
        <v>3</v>
      </c>
      <c r="B103" s="1">
        <v>13</v>
      </c>
      <c r="C103" s="1">
        <v>2</v>
      </c>
      <c r="D103" s="1">
        <v>2</v>
      </c>
    </row>
    <row r="104" spans="1:4">
      <c r="A104" s="1">
        <v>4</v>
      </c>
      <c r="B104" s="1">
        <v>13</v>
      </c>
      <c r="C104" s="1">
        <v>2</v>
      </c>
      <c r="D104" s="1">
        <v>2</v>
      </c>
    </row>
    <row r="105" spans="1:4">
      <c r="A105" s="1">
        <v>4</v>
      </c>
      <c r="B105" s="1">
        <v>13</v>
      </c>
      <c r="C105" s="1">
        <v>2</v>
      </c>
      <c r="D105" s="1">
        <v>2</v>
      </c>
    </row>
    <row r="106" spans="1:4">
      <c r="A106" s="1">
        <v>1</v>
      </c>
      <c r="B106" s="1">
        <v>14</v>
      </c>
      <c r="C106" s="1">
        <v>5</v>
      </c>
      <c r="D106" s="1">
        <v>5</v>
      </c>
    </row>
    <row r="107" spans="1:4">
      <c r="A107" s="1">
        <v>1</v>
      </c>
      <c r="B107" s="1">
        <v>14</v>
      </c>
      <c r="C107" s="1">
        <v>5</v>
      </c>
      <c r="D107" s="1">
        <v>5</v>
      </c>
    </row>
    <row r="108" spans="1:4">
      <c r="A108" s="1">
        <v>2</v>
      </c>
      <c r="B108" s="1">
        <v>14</v>
      </c>
      <c r="C108" s="1">
        <v>5</v>
      </c>
      <c r="D108" s="1">
        <v>5</v>
      </c>
    </row>
    <row r="109" spans="1:4">
      <c r="A109" s="1">
        <v>2</v>
      </c>
      <c r="B109" s="1">
        <v>14</v>
      </c>
      <c r="C109" s="1">
        <v>5</v>
      </c>
      <c r="D109" s="1">
        <v>5</v>
      </c>
    </row>
    <row r="110" spans="1:4">
      <c r="A110" s="1">
        <v>3</v>
      </c>
      <c r="B110" s="1">
        <v>14</v>
      </c>
      <c r="C110" s="1">
        <v>5</v>
      </c>
      <c r="D110" s="1">
        <v>5</v>
      </c>
    </row>
    <row r="111" spans="1:4">
      <c r="A111" s="1">
        <v>3</v>
      </c>
      <c r="B111" s="1">
        <v>14</v>
      </c>
      <c r="C111" s="1">
        <v>5</v>
      </c>
      <c r="D111" s="1">
        <v>5</v>
      </c>
    </row>
    <row r="112" spans="1:4">
      <c r="A112" s="1">
        <v>4</v>
      </c>
      <c r="B112" s="1">
        <v>14</v>
      </c>
      <c r="C112" s="1">
        <v>5</v>
      </c>
      <c r="D112" s="1">
        <v>5</v>
      </c>
    </row>
    <row r="113" spans="1:4">
      <c r="A113" s="1">
        <v>4</v>
      </c>
      <c r="B113" s="1">
        <v>14</v>
      </c>
      <c r="C113" s="1">
        <v>4</v>
      </c>
      <c r="D113" s="1">
        <v>5</v>
      </c>
    </row>
    <row r="114" spans="1:4">
      <c r="A114" s="1">
        <v>1</v>
      </c>
      <c r="B114" s="1">
        <v>15</v>
      </c>
      <c r="C114" s="1">
        <v>1</v>
      </c>
      <c r="D114" s="1">
        <v>1</v>
      </c>
    </row>
    <row r="115" spans="1:4">
      <c r="A115" s="1">
        <v>1</v>
      </c>
      <c r="B115" s="1">
        <v>15</v>
      </c>
      <c r="C115" s="1">
        <v>1</v>
      </c>
      <c r="D115" s="1">
        <v>1</v>
      </c>
    </row>
    <row r="116" spans="1:4">
      <c r="A116" s="1">
        <v>2</v>
      </c>
      <c r="B116" s="1">
        <v>15</v>
      </c>
      <c r="C116" s="1">
        <v>1</v>
      </c>
      <c r="D116" s="1">
        <v>1</v>
      </c>
    </row>
    <row r="117" spans="1:4">
      <c r="A117" s="1">
        <v>2</v>
      </c>
      <c r="B117" s="1">
        <v>15</v>
      </c>
      <c r="C117" s="1">
        <v>1</v>
      </c>
      <c r="D117" s="1">
        <v>1</v>
      </c>
    </row>
    <row r="118" spans="1:4">
      <c r="A118" s="1">
        <v>3</v>
      </c>
      <c r="B118" s="1">
        <v>15</v>
      </c>
      <c r="C118" s="1">
        <v>2</v>
      </c>
      <c r="D118" s="1">
        <v>1</v>
      </c>
    </row>
    <row r="119" spans="1:4">
      <c r="A119" s="1">
        <v>3</v>
      </c>
      <c r="B119" s="1">
        <v>15</v>
      </c>
      <c r="C119" s="1">
        <v>1</v>
      </c>
      <c r="D119" s="1">
        <v>1</v>
      </c>
    </row>
    <row r="120" spans="1:4">
      <c r="A120" s="1">
        <v>4</v>
      </c>
      <c r="B120" s="1">
        <v>15</v>
      </c>
      <c r="C120" s="1">
        <v>1</v>
      </c>
      <c r="D120" s="1">
        <v>1</v>
      </c>
    </row>
    <row r="121" spans="1:4">
      <c r="A121" s="1">
        <v>4</v>
      </c>
      <c r="B121" s="1">
        <v>15</v>
      </c>
      <c r="C121" s="1">
        <v>1</v>
      </c>
      <c r="D121" s="1">
        <v>1</v>
      </c>
    </row>
    <row r="122" spans="1:4">
      <c r="A122" s="1">
        <v>1</v>
      </c>
      <c r="B122" s="1">
        <v>16</v>
      </c>
      <c r="C122" s="1">
        <v>3</v>
      </c>
      <c r="D122" s="1">
        <v>3</v>
      </c>
    </row>
    <row r="123" spans="1:4">
      <c r="A123" s="1">
        <v>1</v>
      </c>
      <c r="B123" s="1">
        <v>16</v>
      </c>
      <c r="C123" s="1">
        <v>3</v>
      </c>
      <c r="D123" s="1">
        <v>3</v>
      </c>
    </row>
    <row r="124" spans="1:4">
      <c r="A124" s="1">
        <v>2</v>
      </c>
      <c r="B124" s="1">
        <v>16</v>
      </c>
      <c r="C124" s="1">
        <v>4</v>
      </c>
      <c r="D124" s="1">
        <v>3</v>
      </c>
    </row>
    <row r="125" spans="1:4">
      <c r="A125" s="1">
        <v>2</v>
      </c>
      <c r="B125" s="1">
        <v>16</v>
      </c>
      <c r="C125" s="1">
        <v>4</v>
      </c>
      <c r="D125" s="1">
        <v>3</v>
      </c>
    </row>
    <row r="126" spans="1:4">
      <c r="A126" s="1">
        <v>3</v>
      </c>
      <c r="B126" s="1">
        <v>16</v>
      </c>
      <c r="C126" s="1">
        <v>3</v>
      </c>
      <c r="D126" s="1">
        <v>3</v>
      </c>
    </row>
    <row r="127" spans="1:4">
      <c r="A127" s="1">
        <v>3</v>
      </c>
      <c r="B127" s="1">
        <v>16</v>
      </c>
      <c r="C127" s="1">
        <v>3</v>
      </c>
      <c r="D127" s="1">
        <v>3</v>
      </c>
    </row>
    <row r="128" spans="1:4">
      <c r="A128" s="1">
        <v>4</v>
      </c>
      <c r="B128" s="1">
        <v>16</v>
      </c>
      <c r="C128" s="1">
        <v>3</v>
      </c>
      <c r="D128" s="1">
        <v>3</v>
      </c>
    </row>
    <row r="129" spans="1:4">
      <c r="A129" s="1">
        <v>4</v>
      </c>
      <c r="B129" s="1">
        <v>16</v>
      </c>
      <c r="C129" s="1">
        <v>3</v>
      </c>
      <c r="D129" s="1">
        <v>3</v>
      </c>
    </row>
    <row r="130" spans="1:4">
      <c r="A130" s="1">
        <v>1</v>
      </c>
      <c r="B130" s="1">
        <v>17</v>
      </c>
      <c r="C130" s="1">
        <v>2</v>
      </c>
      <c r="D130" s="1">
        <v>2</v>
      </c>
    </row>
    <row r="131" spans="1:4">
      <c r="A131" s="1">
        <v>1</v>
      </c>
      <c r="B131" s="1">
        <v>17</v>
      </c>
      <c r="C131" s="1">
        <v>2</v>
      </c>
      <c r="D131" s="1">
        <v>2</v>
      </c>
    </row>
    <row r="132" spans="1:4">
      <c r="A132" s="1">
        <v>2</v>
      </c>
      <c r="B132" s="1">
        <v>17</v>
      </c>
      <c r="C132" s="1">
        <v>2</v>
      </c>
      <c r="D132" s="1">
        <v>2</v>
      </c>
    </row>
    <row r="133" spans="1:4">
      <c r="A133" s="1">
        <v>2</v>
      </c>
      <c r="B133" s="1">
        <v>17</v>
      </c>
      <c r="C133" s="1">
        <v>2</v>
      </c>
      <c r="D133" s="1">
        <v>2</v>
      </c>
    </row>
    <row r="134" spans="1:4">
      <c r="A134" s="1">
        <v>3</v>
      </c>
      <c r="B134" s="1">
        <v>17</v>
      </c>
      <c r="C134" s="1">
        <v>2</v>
      </c>
      <c r="D134" s="1">
        <v>2</v>
      </c>
    </row>
    <row r="135" spans="1:4">
      <c r="A135" s="1">
        <v>3</v>
      </c>
      <c r="B135" s="1">
        <v>17</v>
      </c>
      <c r="C135" s="1">
        <v>2</v>
      </c>
      <c r="D135" s="1">
        <v>2</v>
      </c>
    </row>
    <row r="136" spans="1:4">
      <c r="A136" s="1">
        <v>4</v>
      </c>
      <c r="B136" s="1">
        <v>17</v>
      </c>
      <c r="C136" s="1">
        <v>2</v>
      </c>
      <c r="D136" s="1">
        <v>2</v>
      </c>
    </row>
    <row r="137" spans="1:4">
      <c r="A137" s="1">
        <v>4</v>
      </c>
      <c r="B137" s="1">
        <v>17</v>
      </c>
      <c r="C137" s="1">
        <v>2</v>
      </c>
      <c r="D137" s="1">
        <v>2</v>
      </c>
    </row>
    <row r="138" spans="1:4">
      <c r="A138" s="1">
        <v>1</v>
      </c>
      <c r="B138" s="1">
        <v>18</v>
      </c>
      <c r="C138" s="1">
        <v>4</v>
      </c>
      <c r="D138" s="1">
        <v>4</v>
      </c>
    </row>
    <row r="139" spans="1:4">
      <c r="A139" s="1">
        <v>1</v>
      </c>
      <c r="B139" s="1">
        <v>18</v>
      </c>
      <c r="C139" s="1">
        <v>4</v>
      </c>
      <c r="D139" s="1">
        <v>4</v>
      </c>
    </row>
    <row r="140" spans="1:4">
      <c r="A140" s="1">
        <v>2</v>
      </c>
      <c r="B140" s="1">
        <v>18</v>
      </c>
      <c r="C140" s="1">
        <v>4</v>
      </c>
      <c r="D140" s="1">
        <v>4</v>
      </c>
    </row>
    <row r="141" spans="1:4">
      <c r="A141" s="1">
        <v>2</v>
      </c>
      <c r="B141" s="1">
        <v>18</v>
      </c>
      <c r="C141" s="1">
        <v>4</v>
      </c>
      <c r="D141" s="1">
        <v>4</v>
      </c>
    </row>
    <row r="142" spans="1:4">
      <c r="A142" s="1">
        <v>3</v>
      </c>
      <c r="B142" s="1">
        <v>18</v>
      </c>
      <c r="C142" s="1">
        <v>4</v>
      </c>
      <c r="D142" s="1">
        <v>4</v>
      </c>
    </row>
    <row r="143" spans="1:4">
      <c r="A143" s="1">
        <v>3</v>
      </c>
      <c r="B143" s="1">
        <v>18</v>
      </c>
      <c r="C143" s="1">
        <v>4</v>
      </c>
      <c r="D143" s="1">
        <v>4</v>
      </c>
    </row>
    <row r="144" spans="1:4">
      <c r="A144" s="1">
        <v>4</v>
      </c>
      <c r="B144" s="1">
        <v>18</v>
      </c>
      <c r="C144" s="1">
        <v>4</v>
      </c>
      <c r="D144" s="1">
        <v>4</v>
      </c>
    </row>
    <row r="145" spans="1:4">
      <c r="A145" s="1">
        <v>4</v>
      </c>
      <c r="B145" s="1">
        <v>18</v>
      </c>
      <c r="C145" s="1">
        <v>5</v>
      </c>
      <c r="D145" s="1">
        <v>4</v>
      </c>
    </row>
    <row r="146" spans="1:4">
      <c r="A146" s="1">
        <v>1</v>
      </c>
      <c r="B146" s="1">
        <v>19</v>
      </c>
      <c r="C146" s="1">
        <v>3</v>
      </c>
      <c r="D146" s="1">
        <v>3</v>
      </c>
    </row>
    <row r="147" spans="1:4">
      <c r="A147" s="1">
        <v>1</v>
      </c>
      <c r="B147" s="1">
        <v>19</v>
      </c>
      <c r="C147" s="1">
        <v>3</v>
      </c>
      <c r="D147" s="1">
        <v>3</v>
      </c>
    </row>
    <row r="148" spans="1:4">
      <c r="A148" s="1">
        <v>2</v>
      </c>
      <c r="B148" s="1">
        <v>19</v>
      </c>
      <c r="C148" s="1">
        <v>3</v>
      </c>
      <c r="D148" s="1">
        <v>3</v>
      </c>
    </row>
    <row r="149" spans="1:4">
      <c r="A149" s="1">
        <v>2</v>
      </c>
      <c r="B149" s="1">
        <v>19</v>
      </c>
      <c r="C149" s="1">
        <v>3</v>
      </c>
      <c r="D149" s="1">
        <v>3</v>
      </c>
    </row>
    <row r="150" spans="1:4">
      <c r="A150" s="1">
        <v>3</v>
      </c>
      <c r="B150" s="1">
        <v>19</v>
      </c>
      <c r="C150" s="1">
        <v>3</v>
      </c>
      <c r="D150" s="1">
        <v>3</v>
      </c>
    </row>
    <row r="151" spans="1:4">
      <c r="A151" s="1">
        <v>3</v>
      </c>
      <c r="B151" s="1">
        <v>19</v>
      </c>
      <c r="C151" s="1">
        <v>3</v>
      </c>
      <c r="D151" s="1">
        <v>3</v>
      </c>
    </row>
    <row r="152" spans="1:4">
      <c r="A152" s="1">
        <v>4</v>
      </c>
      <c r="B152" s="1">
        <v>19</v>
      </c>
      <c r="C152" s="1">
        <v>3</v>
      </c>
      <c r="D152" s="1">
        <v>3</v>
      </c>
    </row>
    <row r="153" spans="1:4">
      <c r="A153" s="1">
        <v>4</v>
      </c>
      <c r="B153" s="1">
        <v>19</v>
      </c>
      <c r="C153" s="1">
        <v>3</v>
      </c>
      <c r="D153" s="1">
        <v>3</v>
      </c>
    </row>
    <row r="154" spans="1:4">
      <c r="A154" s="1">
        <v>1</v>
      </c>
      <c r="B154" s="1">
        <v>20</v>
      </c>
      <c r="C154" s="1">
        <v>2</v>
      </c>
      <c r="D154" s="1">
        <v>2</v>
      </c>
    </row>
    <row r="155" spans="1:4">
      <c r="A155" s="1">
        <v>1</v>
      </c>
      <c r="B155" s="1">
        <v>20</v>
      </c>
      <c r="C155" s="1">
        <v>2</v>
      </c>
      <c r="D155" s="1">
        <v>2</v>
      </c>
    </row>
    <row r="156" spans="1:4">
      <c r="A156" s="1">
        <v>2</v>
      </c>
      <c r="B156" s="1">
        <v>20</v>
      </c>
      <c r="C156" s="1">
        <v>2</v>
      </c>
      <c r="D156" s="1">
        <v>2</v>
      </c>
    </row>
    <row r="157" spans="1:4">
      <c r="A157" s="1">
        <v>2</v>
      </c>
      <c r="B157" s="1">
        <v>20</v>
      </c>
      <c r="C157" s="1">
        <v>2</v>
      </c>
      <c r="D157" s="1">
        <v>2</v>
      </c>
    </row>
    <row r="158" spans="1:4">
      <c r="A158" s="1">
        <v>3</v>
      </c>
      <c r="B158" s="1">
        <v>20</v>
      </c>
      <c r="C158" s="1">
        <v>1</v>
      </c>
      <c r="D158" s="1">
        <v>2</v>
      </c>
    </row>
    <row r="159" spans="1:4">
      <c r="A159" s="1">
        <v>3</v>
      </c>
      <c r="B159" s="1">
        <v>20</v>
      </c>
      <c r="C159" s="1">
        <v>2</v>
      </c>
      <c r="D159" s="1">
        <v>2</v>
      </c>
    </row>
    <row r="160" spans="1:4">
      <c r="A160" s="1">
        <v>4</v>
      </c>
      <c r="B160" s="1">
        <v>20</v>
      </c>
      <c r="C160" s="1">
        <v>2</v>
      </c>
      <c r="D160" s="1">
        <v>2</v>
      </c>
    </row>
    <row r="161" spans="1:4">
      <c r="A161" s="1">
        <v>4</v>
      </c>
      <c r="B161" s="1">
        <v>20</v>
      </c>
      <c r="C161" s="1">
        <v>2</v>
      </c>
      <c r="D161" s="1">
        <v>2</v>
      </c>
    </row>
  </sheetData>
  <mergeCells count="6">
    <mergeCell ref="F2:F3"/>
    <mergeCell ref="H2:I2"/>
    <mergeCell ref="J2:K2"/>
    <mergeCell ref="L2:M2"/>
    <mergeCell ref="N2:O2"/>
    <mergeCell ref="G2:G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15"/>
  <sheetViews>
    <sheetView workbookViewId="0">
      <selection activeCell="C3" sqref="C3:L7"/>
    </sheetView>
  </sheetViews>
  <sheetFormatPr defaultRowHeight="15"/>
  <sheetData>
    <row r="2" spans="2:12">
      <c r="B2" s="33" t="s">
        <v>122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4">
        <v>10</v>
      </c>
    </row>
    <row r="3" spans="2:12">
      <c r="B3" s="82" t="s">
        <v>4</v>
      </c>
      <c r="C3" s="32">
        <v>5.2</v>
      </c>
      <c r="D3" s="32">
        <v>5.4</v>
      </c>
      <c r="E3" s="32">
        <v>5.5</v>
      </c>
      <c r="F3" s="32">
        <v>5.2</v>
      </c>
      <c r="G3" s="32">
        <v>5.4</v>
      </c>
      <c r="H3" s="32">
        <v>4.8</v>
      </c>
      <c r="I3" s="32">
        <v>5.3</v>
      </c>
      <c r="J3" s="32">
        <v>5.5</v>
      </c>
      <c r="K3" s="32">
        <v>5.2</v>
      </c>
      <c r="L3" s="32">
        <v>4.9000000000000004</v>
      </c>
    </row>
    <row r="4" spans="2:12">
      <c r="B4" s="82"/>
      <c r="C4" s="32">
        <v>5.2</v>
      </c>
      <c r="D4" s="32">
        <v>5.5</v>
      </c>
      <c r="E4" s="32">
        <v>5.3</v>
      </c>
      <c r="F4" s="32">
        <v>5.3</v>
      </c>
      <c r="G4" s="32">
        <v>5.4</v>
      </c>
      <c r="H4" s="32">
        <v>5.0999999999999996</v>
      </c>
      <c r="I4" s="32">
        <v>5.2</v>
      </c>
      <c r="J4" s="32">
        <v>5.3</v>
      </c>
      <c r="K4" s="32">
        <v>5.0999999999999996</v>
      </c>
      <c r="L4" s="32">
        <v>5.0999999999999996</v>
      </c>
    </row>
    <row r="5" spans="2:12">
      <c r="B5" s="82"/>
      <c r="C5" s="32">
        <v>5.6</v>
      </c>
      <c r="D5" s="32">
        <v>5.4</v>
      </c>
      <c r="E5" s="32">
        <v>5.2</v>
      </c>
      <c r="F5" s="32">
        <v>5.3</v>
      </c>
      <c r="G5" s="32">
        <v>5.3</v>
      </c>
      <c r="H5" s="32">
        <v>5.2</v>
      </c>
      <c r="I5" s="32">
        <v>5.3</v>
      </c>
      <c r="J5" s="32">
        <v>5.3</v>
      </c>
      <c r="K5" s="32">
        <v>5.6</v>
      </c>
      <c r="L5" s="32">
        <v>5.3</v>
      </c>
    </row>
    <row r="6" spans="2:12">
      <c r="B6" s="82"/>
      <c r="C6" s="32">
        <v>5.4</v>
      </c>
      <c r="D6" s="32">
        <v>5.6</v>
      </c>
      <c r="E6" s="32">
        <v>5.3</v>
      </c>
      <c r="F6" s="32">
        <v>5</v>
      </c>
      <c r="G6" s="32">
        <v>5.2</v>
      </c>
      <c r="H6" s="32">
        <v>5.2</v>
      </c>
      <c r="I6" s="32">
        <v>5.6</v>
      </c>
      <c r="J6" s="32">
        <v>5.2</v>
      </c>
      <c r="K6" s="32">
        <v>5.2</v>
      </c>
      <c r="L6" s="32">
        <v>5.2</v>
      </c>
    </row>
    <row r="7" spans="2:12">
      <c r="B7" s="82"/>
      <c r="C7" s="32">
        <v>5.3</v>
      </c>
      <c r="D7" s="32">
        <v>5.3</v>
      </c>
      <c r="E7" s="32">
        <v>5.6</v>
      </c>
      <c r="F7" s="32">
        <v>5.0999999999999996</v>
      </c>
      <c r="G7" s="32">
        <v>5.0999999999999996</v>
      </c>
      <c r="H7" s="32">
        <v>5.3</v>
      </c>
      <c r="I7" s="32">
        <v>5.3</v>
      </c>
      <c r="J7" s="32">
        <v>5.4</v>
      </c>
      <c r="K7" s="32">
        <v>5</v>
      </c>
      <c r="L7" s="32">
        <v>5.3</v>
      </c>
    </row>
    <row r="10" spans="2:12">
      <c r="B10" t="s">
        <v>123</v>
      </c>
      <c r="C10" s="53">
        <f>AVERAGE(C4:C8)</f>
        <v>5.3750000000000009</v>
      </c>
    </row>
    <row r="11" spans="2:12">
      <c r="B11" t="s">
        <v>124</v>
      </c>
      <c r="C11" s="54">
        <f>STDEV(C4:C8)</f>
        <v>0.17078251276599313</v>
      </c>
    </row>
    <row r="12" spans="2:12">
      <c r="B12" t="s">
        <v>125</v>
      </c>
      <c r="C12" s="53">
        <f>MEDIAN(C4:C8)</f>
        <v>5.35</v>
      </c>
    </row>
    <row r="13" spans="2:12">
      <c r="B13" t="s">
        <v>126</v>
      </c>
      <c r="C13" s="55">
        <f>MAX(C4:C8)</f>
        <v>5.6</v>
      </c>
    </row>
    <row r="14" spans="2:12">
      <c r="B14" t="s">
        <v>127</v>
      </c>
      <c r="C14" s="55">
        <f>MIN(C4:C8)</f>
        <v>5.2</v>
      </c>
    </row>
    <row r="15" spans="2:12">
      <c r="B15" t="s">
        <v>128</v>
      </c>
      <c r="C15" s="56">
        <f>C13-C14</f>
        <v>0.39999999999999947</v>
      </c>
    </row>
  </sheetData>
  <mergeCells count="1">
    <mergeCell ref="B3:B7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O33"/>
  <sheetViews>
    <sheetView workbookViewId="0">
      <selection activeCell="D7" sqref="D7"/>
    </sheetView>
  </sheetViews>
  <sheetFormatPr defaultRowHeight="15"/>
  <sheetData>
    <row r="1" spans="2:15">
      <c r="L1" s="82" t="s">
        <v>129</v>
      </c>
      <c r="M1" s="82"/>
      <c r="N1" s="86" t="s">
        <v>130</v>
      </c>
      <c r="O1" s="87"/>
    </row>
    <row r="2" spans="2:15">
      <c r="B2" s="35" t="s">
        <v>3</v>
      </c>
      <c r="C2" s="36" t="s">
        <v>98</v>
      </c>
      <c r="D2" s="37" t="s">
        <v>99</v>
      </c>
      <c r="E2" s="37" t="s">
        <v>100</v>
      </c>
      <c r="F2" s="37" t="s">
        <v>101</v>
      </c>
      <c r="G2" s="40" t="s">
        <v>102</v>
      </c>
      <c r="H2" s="42" t="s">
        <v>123</v>
      </c>
      <c r="I2" s="42" t="s">
        <v>126</v>
      </c>
      <c r="J2" s="42" t="s">
        <v>127</v>
      </c>
      <c r="K2" s="48" t="s">
        <v>128</v>
      </c>
      <c r="L2" s="42" t="s">
        <v>6</v>
      </c>
      <c r="M2" s="42" t="s">
        <v>7</v>
      </c>
      <c r="N2" s="42" t="s">
        <v>6</v>
      </c>
      <c r="O2" s="42" t="s">
        <v>7</v>
      </c>
    </row>
    <row r="3" spans="2:15">
      <c r="B3" s="9">
        <v>1</v>
      </c>
      <c r="C3" s="38">
        <v>7.74</v>
      </c>
      <c r="D3" s="39">
        <v>7.83</v>
      </c>
      <c r="E3" s="39">
        <v>7.93</v>
      </c>
      <c r="F3" s="39">
        <v>7.8</v>
      </c>
      <c r="G3" s="41">
        <v>7.8</v>
      </c>
      <c r="H3" s="1">
        <f>AVERAGE(C3:G3)</f>
        <v>7.82</v>
      </c>
      <c r="I3" s="1">
        <f>MAX(C3:G3)</f>
        <v>7.93</v>
      </c>
      <c r="J3" s="1">
        <f>MIN(C3:G3)</f>
        <v>7.74</v>
      </c>
      <c r="K3" s="49">
        <f>I3-J3</f>
        <v>0.1899999999999995</v>
      </c>
      <c r="L3" s="50">
        <f>$H$33+0.577*$K$33</f>
        <v>7.8875183333333352</v>
      </c>
      <c r="M3" s="50">
        <f>$H$33-0.577*$K$33</f>
        <v>7.6124816666666684</v>
      </c>
      <c r="N3" s="50">
        <f>2.114*$K$33</f>
        <v>0.50383666666666671</v>
      </c>
      <c r="O3" s="1">
        <v>0</v>
      </c>
    </row>
    <row r="4" spans="2:15">
      <c r="B4" s="9">
        <v>2</v>
      </c>
      <c r="C4" s="38">
        <v>7.88</v>
      </c>
      <c r="D4" s="39">
        <v>7.93</v>
      </c>
      <c r="E4" s="39">
        <v>7.95</v>
      </c>
      <c r="F4" s="39">
        <v>7.74</v>
      </c>
      <c r="G4" s="41">
        <v>7.74</v>
      </c>
      <c r="H4" s="1">
        <f t="shared" ref="H4:H32" si="0">AVERAGE(C4:G4)</f>
        <v>7.8480000000000008</v>
      </c>
      <c r="I4" s="1">
        <f t="shared" ref="I4:I32" si="1">MAX(C4:G4)</f>
        <v>7.95</v>
      </c>
      <c r="J4" s="1">
        <f t="shared" ref="J4:J32" si="2">MIN(C4:G4)</f>
        <v>7.74</v>
      </c>
      <c r="K4" s="49">
        <f t="shared" ref="K4:K32" si="3">I4-J4</f>
        <v>0.20999999999999996</v>
      </c>
      <c r="L4" s="50">
        <f t="shared" ref="L4:L32" si="4">$H$33+0.577*$K$33</f>
        <v>7.8875183333333352</v>
      </c>
      <c r="M4" s="50">
        <f t="shared" ref="M4:M32" si="5">$H$33-0.577*$K$33</f>
        <v>7.6124816666666684</v>
      </c>
      <c r="N4" s="50">
        <f t="shared" ref="N4:N32" si="6">2.114*$K$33</f>
        <v>0.50383666666666671</v>
      </c>
      <c r="O4" s="1">
        <v>1</v>
      </c>
    </row>
    <row r="5" spans="2:15">
      <c r="B5" s="9">
        <v>3</v>
      </c>
      <c r="C5" s="38">
        <v>7.83</v>
      </c>
      <c r="D5" s="39">
        <v>7.9</v>
      </c>
      <c r="E5" s="39">
        <v>7.8</v>
      </c>
      <c r="F5" s="39">
        <v>7.82</v>
      </c>
      <c r="G5" s="41">
        <v>7.82</v>
      </c>
      <c r="H5" s="1">
        <f t="shared" si="0"/>
        <v>7.8340000000000005</v>
      </c>
      <c r="I5" s="1">
        <f t="shared" si="1"/>
        <v>7.9</v>
      </c>
      <c r="J5" s="1">
        <f t="shared" si="2"/>
        <v>7.8</v>
      </c>
      <c r="K5" s="49">
        <f t="shared" si="3"/>
        <v>0.10000000000000053</v>
      </c>
      <c r="L5" s="50">
        <f t="shared" si="4"/>
        <v>7.8875183333333352</v>
      </c>
      <c r="M5" s="50">
        <f t="shared" si="5"/>
        <v>7.6124816666666684</v>
      </c>
      <c r="N5" s="50">
        <f t="shared" si="6"/>
        <v>0.50383666666666671</v>
      </c>
      <c r="O5" s="1">
        <v>2</v>
      </c>
    </row>
    <row r="6" spans="2:15">
      <c r="B6" s="9">
        <v>4</v>
      </c>
      <c r="C6" s="38">
        <v>7.87</v>
      </c>
      <c r="D6" s="39">
        <v>7.8</v>
      </c>
      <c r="E6" s="39">
        <v>7.82</v>
      </c>
      <c r="F6" s="39">
        <v>7.79</v>
      </c>
      <c r="G6" s="41">
        <v>7.79</v>
      </c>
      <c r="H6" s="1">
        <f t="shared" si="0"/>
        <v>7.8140000000000001</v>
      </c>
      <c r="I6" s="1">
        <f t="shared" si="1"/>
        <v>7.87</v>
      </c>
      <c r="J6" s="1">
        <f t="shared" si="2"/>
        <v>7.79</v>
      </c>
      <c r="K6" s="49">
        <f t="shared" si="3"/>
        <v>8.0000000000000071E-2</v>
      </c>
      <c r="L6" s="50">
        <f t="shared" si="4"/>
        <v>7.8875183333333352</v>
      </c>
      <c r="M6" s="50">
        <f t="shared" si="5"/>
        <v>7.6124816666666684</v>
      </c>
      <c r="N6" s="50">
        <f t="shared" si="6"/>
        <v>0.50383666666666671</v>
      </c>
      <c r="O6" s="1">
        <v>3</v>
      </c>
    </row>
    <row r="7" spans="2:15">
      <c r="B7" s="9">
        <v>5</v>
      </c>
      <c r="C7" s="38">
        <v>7.95</v>
      </c>
      <c r="D7" s="39">
        <v>7.55</v>
      </c>
      <c r="E7" s="39">
        <v>7.89</v>
      </c>
      <c r="F7" s="39">
        <v>7.87</v>
      </c>
      <c r="G7" s="41">
        <v>7.8</v>
      </c>
      <c r="H7" s="1">
        <f t="shared" si="0"/>
        <v>7.8120000000000003</v>
      </c>
      <c r="I7" s="1">
        <f t="shared" si="1"/>
        <v>7.95</v>
      </c>
      <c r="J7" s="1">
        <f t="shared" si="2"/>
        <v>7.55</v>
      </c>
      <c r="K7" s="49">
        <f t="shared" si="3"/>
        <v>0.40000000000000036</v>
      </c>
      <c r="L7" s="50">
        <f t="shared" si="4"/>
        <v>7.8875183333333352</v>
      </c>
      <c r="M7" s="50">
        <f t="shared" si="5"/>
        <v>7.6124816666666684</v>
      </c>
      <c r="N7" s="50">
        <f t="shared" si="6"/>
        <v>0.50383666666666671</v>
      </c>
      <c r="O7" s="1">
        <v>4</v>
      </c>
    </row>
    <row r="8" spans="2:15">
      <c r="B8" s="9">
        <v>6</v>
      </c>
      <c r="C8" s="38">
        <v>8.02</v>
      </c>
      <c r="D8" s="39">
        <v>8.0500000000000007</v>
      </c>
      <c r="E8" s="39">
        <v>8.2100000000000009</v>
      </c>
      <c r="F8" s="39">
        <v>7.88</v>
      </c>
      <c r="G8" s="41">
        <v>7.88</v>
      </c>
      <c r="H8" s="1">
        <f t="shared" si="0"/>
        <v>8.0080000000000009</v>
      </c>
      <c r="I8" s="1">
        <f t="shared" si="1"/>
        <v>8.2100000000000009</v>
      </c>
      <c r="J8" s="1">
        <f t="shared" si="2"/>
        <v>7.88</v>
      </c>
      <c r="K8" s="49">
        <f t="shared" si="3"/>
        <v>0.33000000000000096</v>
      </c>
      <c r="L8" s="50">
        <f t="shared" si="4"/>
        <v>7.8875183333333352</v>
      </c>
      <c r="M8" s="50">
        <f t="shared" si="5"/>
        <v>7.6124816666666684</v>
      </c>
      <c r="N8" s="50">
        <f t="shared" si="6"/>
        <v>0.50383666666666671</v>
      </c>
      <c r="O8" s="1">
        <v>5</v>
      </c>
    </row>
    <row r="9" spans="2:15">
      <c r="B9" s="9">
        <v>7</v>
      </c>
      <c r="C9" s="38">
        <v>7.86</v>
      </c>
      <c r="D9" s="39">
        <v>7.59</v>
      </c>
      <c r="E9" s="39">
        <v>7.79</v>
      </c>
      <c r="F9" s="39">
        <v>7.59</v>
      </c>
      <c r="G9" s="41">
        <v>7.59</v>
      </c>
      <c r="H9" s="1">
        <f t="shared" si="0"/>
        <v>7.6840000000000002</v>
      </c>
      <c r="I9" s="1">
        <f t="shared" si="1"/>
        <v>7.86</v>
      </c>
      <c r="J9" s="1">
        <f t="shared" si="2"/>
        <v>7.59</v>
      </c>
      <c r="K9" s="49">
        <f t="shared" si="3"/>
        <v>0.27000000000000046</v>
      </c>
      <c r="L9" s="50">
        <f t="shared" si="4"/>
        <v>7.8875183333333352</v>
      </c>
      <c r="M9" s="50">
        <f t="shared" si="5"/>
        <v>7.6124816666666684</v>
      </c>
      <c r="N9" s="50">
        <f t="shared" si="6"/>
        <v>0.50383666666666671</v>
      </c>
      <c r="O9" s="1">
        <v>6</v>
      </c>
    </row>
    <row r="10" spans="2:15">
      <c r="B10" s="9">
        <v>8</v>
      </c>
      <c r="C10" s="38">
        <v>7.91</v>
      </c>
      <c r="D10" s="39">
        <v>7.87</v>
      </c>
      <c r="E10" s="39">
        <v>7.98</v>
      </c>
      <c r="F10" s="39">
        <v>7.94</v>
      </c>
      <c r="G10" s="41">
        <v>7.94</v>
      </c>
      <c r="H10" s="1">
        <f t="shared" si="0"/>
        <v>7.9279999999999999</v>
      </c>
      <c r="I10" s="1">
        <f t="shared" si="1"/>
        <v>7.98</v>
      </c>
      <c r="J10" s="1">
        <f t="shared" si="2"/>
        <v>7.87</v>
      </c>
      <c r="K10" s="49">
        <f t="shared" si="3"/>
        <v>0.11000000000000032</v>
      </c>
      <c r="L10" s="50">
        <f t="shared" si="4"/>
        <v>7.8875183333333352</v>
      </c>
      <c r="M10" s="50">
        <f t="shared" si="5"/>
        <v>7.6124816666666684</v>
      </c>
      <c r="N10" s="50">
        <f t="shared" si="6"/>
        <v>0.50383666666666671</v>
      </c>
      <c r="O10" s="1">
        <v>7</v>
      </c>
    </row>
    <row r="11" spans="2:15">
      <c r="B11" s="9">
        <v>9</v>
      </c>
      <c r="C11" s="38">
        <v>7.88</v>
      </c>
      <c r="D11" s="39">
        <v>7.79</v>
      </c>
      <c r="E11" s="39">
        <v>7.97</v>
      </c>
      <c r="F11" s="39">
        <v>7.91</v>
      </c>
      <c r="G11" s="41">
        <v>7.91</v>
      </c>
      <c r="H11" s="1">
        <f t="shared" si="0"/>
        <v>7.8920000000000003</v>
      </c>
      <c r="I11" s="1">
        <f t="shared" si="1"/>
        <v>7.97</v>
      </c>
      <c r="J11" s="1">
        <f t="shared" si="2"/>
        <v>7.79</v>
      </c>
      <c r="K11" s="49">
        <f t="shared" si="3"/>
        <v>0.17999999999999972</v>
      </c>
      <c r="L11" s="50">
        <f t="shared" si="4"/>
        <v>7.8875183333333352</v>
      </c>
      <c r="M11" s="50">
        <f t="shared" si="5"/>
        <v>7.6124816666666684</v>
      </c>
      <c r="N11" s="50">
        <f t="shared" si="6"/>
        <v>0.50383666666666671</v>
      </c>
      <c r="O11" s="1">
        <v>8</v>
      </c>
    </row>
    <row r="12" spans="2:15">
      <c r="B12" s="9">
        <v>10</v>
      </c>
      <c r="C12" s="38">
        <v>7.49</v>
      </c>
      <c r="D12" s="39">
        <v>7.37</v>
      </c>
      <c r="E12" s="39">
        <v>7.57</v>
      </c>
      <c r="F12" s="39">
        <v>7.4</v>
      </c>
      <c r="G12" s="41">
        <v>7.97</v>
      </c>
      <c r="H12" s="1">
        <f t="shared" si="0"/>
        <v>7.56</v>
      </c>
      <c r="I12" s="1">
        <f t="shared" si="1"/>
        <v>7.97</v>
      </c>
      <c r="J12" s="1">
        <f t="shared" si="2"/>
        <v>7.37</v>
      </c>
      <c r="K12" s="49">
        <f t="shared" si="3"/>
        <v>0.59999999999999964</v>
      </c>
      <c r="L12" s="50">
        <f t="shared" si="4"/>
        <v>7.8875183333333352</v>
      </c>
      <c r="M12" s="50">
        <f t="shared" si="5"/>
        <v>7.6124816666666684</v>
      </c>
      <c r="N12" s="50">
        <f t="shared" si="6"/>
        <v>0.50383666666666671</v>
      </c>
      <c r="O12" s="1">
        <v>9</v>
      </c>
    </row>
    <row r="13" spans="2:15">
      <c r="B13" s="9">
        <v>11</v>
      </c>
      <c r="C13" s="38">
        <v>7.84</v>
      </c>
      <c r="D13" s="39">
        <v>7.96</v>
      </c>
      <c r="E13" s="39">
        <v>7.9</v>
      </c>
      <c r="F13" s="39">
        <v>7.8</v>
      </c>
      <c r="G13" s="41">
        <v>7.8</v>
      </c>
      <c r="H13" s="1">
        <f t="shared" si="0"/>
        <v>7.8600000000000012</v>
      </c>
      <c r="I13" s="1">
        <f t="shared" si="1"/>
        <v>7.96</v>
      </c>
      <c r="J13" s="1">
        <f t="shared" si="2"/>
        <v>7.8</v>
      </c>
      <c r="K13" s="49">
        <f t="shared" si="3"/>
        <v>0.16000000000000014</v>
      </c>
      <c r="L13" s="50">
        <f t="shared" si="4"/>
        <v>7.8875183333333352</v>
      </c>
      <c r="M13" s="50">
        <f t="shared" si="5"/>
        <v>7.6124816666666684</v>
      </c>
      <c r="N13" s="50">
        <f t="shared" si="6"/>
        <v>0.50383666666666671</v>
      </c>
      <c r="O13" s="1">
        <v>10</v>
      </c>
    </row>
    <row r="14" spans="2:15">
      <c r="B14" s="9">
        <v>12</v>
      </c>
      <c r="C14" s="38">
        <v>7.91</v>
      </c>
      <c r="D14" s="39">
        <v>7.97</v>
      </c>
      <c r="E14" s="39">
        <v>7.86</v>
      </c>
      <c r="F14" s="39">
        <v>7.74</v>
      </c>
      <c r="G14" s="41">
        <v>7.74</v>
      </c>
      <c r="H14" s="1">
        <f t="shared" si="0"/>
        <v>7.8439999999999994</v>
      </c>
      <c r="I14" s="1">
        <f t="shared" si="1"/>
        <v>7.97</v>
      </c>
      <c r="J14" s="1">
        <f t="shared" si="2"/>
        <v>7.74</v>
      </c>
      <c r="K14" s="49">
        <f t="shared" si="3"/>
        <v>0.22999999999999954</v>
      </c>
      <c r="L14" s="50">
        <f t="shared" si="4"/>
        <v>7.8875183333333352</v>
      </c>
      <c r="M14" s="50">
        <f t="shared" si="5"/>
        <v>7.6124816666666684</v>
      </c>
      <c r="N14" s="50">
        <f t="shared" si="6"/>
        <v>0.50383666666666671</v>
      </c>
      <c r="O14" s="1">
        <v>11</v>
      </c>
    </row>
    <row r="15" spans="2:15">
      <c r="B15" s="9">
        <v>13</v>
      </c>
      <c r="C15" s="38">
        <v>7.74</v>
      </c>
      <c r="D15" s="39">
        <v>7.91</v>
      </c>
      <c r="E15" s="39">
        <v>7.87</v>
      </c>
      <c r="F15" s="39">
        <v>7.82</v>
      </c>
      <c r="G15" s="41">
        <v>7.89</v>
      </c>
      <c r="H15" s="1">
        <f t="shared" si="0"/>
        <v>7.8459999999999992</v>
      </c>
      <c r="I15" s="1">
        <f t="shared" si="1"/>
        <v>7.91</v>
      </c>
      <c r="J15" s="1">
        <f t="shared" si="2"/>
        <v>7.74</v>
      </c>
      <c r="K15" s="49">
        <f t="shared" si="3"/>
        <v>0.16999999999999993</v>
      </c>
      <c r="L15" s="50">
        <f t="shared" si="4"/>
        <v>7.8875183333333352</v>
      </c>
      <c r="M15" s="50">
        <f t="shared" si="5"/>
        <v>7.6124816666666684</v>
      </c>
      <c r="N15" s="50">
        <f t="shared" si="6"/>
        <v>0.50383666666666671</v>
      </c>
      <c r="O15" s="1">
        <v>12</v>
      </c>
    </row>
    <row r="16" spans="2:15">
      <c r="B16" s="9">
        <v>14</v>
      </c>
      <c r="C16" s="38">
        <v>7.93</v>
      </c>
      <c r="D16" s="39">
        <v>8.23</v>
      </c>
      <c r="E16" s="39">
        <v>8.25</v>
      </c>
      <c r="F16" s="39">
        <v>7.79</v>
      </c>
      <c r="G16" s="41">
        <v>7.74</v>
      </c>
      <c r="H16" s="1">
        <f t="shared" si="0"/>
        <v>7.9880000000000013</v>
      </c>
      <c r="I16" s="1">
        <f t="shared" si="1"/>
        <v>8.25</v>
      </c>
      <c r="J16" s="1">
        <f t="shared" si="2"/>
        <v>7.74</v>
      </c>
      <c r="K16" s="49">
        <f t="shared" si="3"/>
        <v>0.50999999999999979</v>
      </c>
      <c r="L16" s="50">
        <f t="shared" si="4"/>
        <v>7.8875183333333352</v>
      </c>
      <c r="M16" s="50">
        <f t="shared" si="5"/>
        <v>7.6124816666666684</v>
      </c>
      <c r="N16" s="50">
        <f t="shared" si="6"/>
        <v>0.50383666666666671</v>
      </c>
      <c r="O16" s="1">
        <v>13</v>
      </c>
    </row>
    <row r="17" spans="2:15">
      <c r="B17" s="9">
        <v>15</v>
      </c>
      <c r="C17" s="38">
        <v>8.02</v>
      </c>
      <c r="D17" s="39">
        <v>7.95</v>
      </c>
      <c r="E17" s="39">
        <v>8.15</v>
      </c>
      <c r="F17" s="39">
        <v>8.17</v>
      </c>
      <c r="G17" s="41">
        <v>7.98</v>
      </c>
      <c r="H17" s="1">
        <f t="shared" si="0"/>
        <v>8.0539999999999985</v>
      </c>
      <c r="I17" s="1">
        <f t="shared" si="1"/>
        <v>8.17</v>
      </c>
      <c r="J17" s="1">
        <f t="shared" si="2"/>
        <v>7.95</v>
      </c>
      <c r="K17" s="49">
        <f t="shared" si="3"/>
        <v>0.21999999999999975</v>
      </c>
      <c r="L17" s="50">
        <f t="shared" si="4"/>
        <v>7.8875183333333352</v>
      </c>
      <c r="M17" s="50">
        <f t="shared" si="5"/>
        <v>7.6124816666666684</v>
      </c>
      <c r="N17" s="50">
        <f t="shared" si="6"/>
        <v>0.50383666666666671</v>
      </c>
      <c r="O17" s="1">
        <v>14</v>
      </c>
    </row>
    <row r="18" spans="2:15">
      <c r="B18" s="9">
        <v>16</v>
      </c>
      <c r="C18" s="38">
        <v>7.82</v>
      </c>
      <c r="D18" s="39">
        <v>7.92</v>
      </c>
      <c r="E18" s="39">
        <v>7.94</v>
      </c>
      <c r="F18" s="39">
        <v>7.82</v>
      </c>
      <c r="G18" s="41">
        <v>8.1999999999999993</v>
      </c>
      <c r="H18" s="1">
        <f t="shared" si="0"/>
        <v>7.94</v>
      </c>
      <c r="I18" s="1">
        <f t="shared" si="1"/>
        <v>8.1999999999999993</v>
      </c>
      <c r="J18" s="1">
        <f t="shared" si="2"/>
        <v>7.82</v>
      </c>
      <c r="K18" s="49">
        <f t="shared" si="3"/>
        <v>0.37999999999999901</v>
      </c>
      <c r="L18" s="50">
        <f t="shared" si="4"/>
        <v>7.8875183333333352</v>
      </c>
      <c r="M18" s="50">
        <f t="shared" si="5"/>
        <v>7.6124816666666684</v>
      </c>
      <c r="N18" s="50">
        <f t="shared" si="6"/>
        <v>0.50383666666666671</v>
      </c>
      <c r="O18" s="1">
        <v>15</v>
      </c>
    </row>
    <row r="19" spans="2:15">
      <c r="B19" s="9">
        <v>17</v>
      </c>
      <c r="C19" s="38">
        <v>8.01</v>
      </c>
      <c r="D19" s="39">
        <v>7.9</v>
      </c>
      <c r="E19" s="39">
        <v>7.95</v>
      </c>
      <c r="F19" s="39">
        <v>7.79</v>
      </c>
      <c r="G19" s="41">
        <v>7.34</v>
      </c>
      <c r="H19" s="1">
        <f t="shared" si="0"/>
        <v>7.7979999999999992</v>
      </c>
      <c r="I19" s="1">
        <f t="shared" si="1"/>
        <v>8.01</v>
      </c>
      <c r="J19" s="1">
        <f t="shared" si="2"/>
        <v>7.34</v>
      </c>
      <c r="K19" s="49">
        <f t="shared" si="3"/>
        <v>0.66999999999999993</v>
      </c>
      <c r="L19" s="50">
        <f t="shared" si="4"/>
        <v>7.8875183333333352</v>
      </c>
      <c r="M19" s="50">
        <f t="shared" si="5"/>
        <v>7.6124816666666684</v>
      </c>
      <c r="N19" s="50">
        <f t="shared" si="6"/>
        <v>0.50383666666666671</v>
      </c>
      <c r="O19" s="1">
        <v>16</v>
      </c>
    </row>
    <row r="20" spans="2:15">
      <c r="B20" s="9">
        <v>18</v>
      </c>
      <c r="C20" s="38">
        <v>7.91</v>
      </c>
      <c r="D20" s="39">
        <v>7.96</v>
      </c>
      <c r="E20" s="39">
        <v>7.91</v>
      </c>
      <c r="F20" s="39">
        <v>7.87</v>
      </c>
      <c r="G20" s="41">
        <v>7.91</v>
      </c>
      <c r="H20" s="1">
        <f t="shared" si="0"/>
        <v>7.9120000000000008</v>
      </c>
      <c r="I20" s="1">
        <f t="shared" si="1"/>
        <v>7.96</v>
      </c>
      <c r="J20" s="1">
        <f t="shared" si="2"/>
        <v>7.87</v>
      </c>
      <c r="K20" s="49">
        <f t="shared" si="3"/>
        <v>8.9999999999999858E-2</v>
      </c>
      <c r="L20" s="50">
        <f t="shared" si="4"/>
        <v>7.8875183333333352</v>
      </c>
      <c r="M20" s="50">
        <f t="shared" si="5"/>
        <v>7.6124816666666684</v>
      </c>
      <c r="N20" s="50">
        <f t="shared" si="6"/>
        <v>0.50383666666666671</v>
      </c>
      <c r="O20" s="1">
        <v>17</v>
      </c>
    </row>
    <row r="21" spans="2:15">
      <c r="B21" s="9">
        <v>19</v>
      </c>
      <c r="C21" s="38">
        <v>7.71</v>
      </c>
      <c r="D21" s="39">
        <v>7.78</v>
      </c>
      <c r="E21" s="39">
        <v>7.83</v>
      </c>
      <c r="F21" s="39">
        <v>7.79</v>
      </c>
      <c r="G21" s="41">
        <v>7.79</v>
      </c>
      <c r="H21" s="1">
        <f t="shared" si="0"/>
        <v>7.7799999999999994</v>
      </c>
      <c r="I21" s="1">
        <f t="shared" si="1"/>
        <v>7.83</v>
      </c>
      <c r="J21" s="1">
        <f t="shared" si="2"/>
        <v>7.71</v>
      </c>
      <c r="K21" s="49">
        <f t="shared" si="3"/>
        <v>0.12000000000000011</v>
      </c>
      <c r="L21" s="50">
        <f t="shared" si="4"/>
        <v>7.8875183333333352</v>
      </c>
      <c r="M21" s="50">
        <f t="shared" si="5"/>
        <v>7.6124816666666684</v>
      </c>
      <c r="N21" s="50">
        <f t="shared" si="6"/>
        <v>0.50383666666666671</v>
      </c>
      <c r="O21" s="1">
        <v>18</v>
      </c>
    </row>
    <row r="22" spans="2:15">
      <c r="B22" s="9">
        <v>20</v>
      </c>
      <c r="C22" s="38">
        <v>7.64</v>
      </c>
      <c r="D22" s="39">
        <v>7.7</v>
      </c>
      <c r="E22" s="39">
        <v>7.86</v>
      </c>
      <c r="F22" s="39">
        <v>7.79</v>
      </c>
      <c r="G22" s="41">
        <v>7.79</v>
      </c>
      <c r="H22" s="1">
        <f t="shared" si="0"/>
        <v>7.7560000000000002</v>
      </c>
      <c r="I22" s="1">
        <f t="shared" si="1"/>
        <v>7.86</v>
      </c>
      <c r="J22" s="1">
        <f t="shared" si="2"/>
        <v>7.64</v>
      </c>
      <c r="K22" s="49">
        <f t="shared" si="3"/>
        <v>0.22000000000000064</v>
      </c>
      <c r="L22" s="50">
        <f t="shared" si="4"/>
        <v>7.8875183333333352</v>
      </c>
      <c r="M22" s="50">
        <f t="shared" si="5"/>
        <v>7.6124816666666684</v>
      </c>
      <c r="N22" s="50">
        <f t="shared" si="6"/>
        <v>0.50383666666666671</v>
      </c>
      <c r="O22" s="1">
        <v>19</v>
      </c>
    </row>
    <row r="23" spans="2:15">
      <c r="B23" s="9">
        <v>21</v>
      </c>
      <c r="C23" s="38">
        <v>7.72</v>
      </c>
      <c r="D23" s="39">
        <v>7.62</v>
      </c>
      <c r="E23" s="39">
        <v>7.57</v>
      </c>
      <c r="F23" s="39">
        <v>7.78</v>
      </c>
      <c r="G23" s="41">
        <v>7.48</v>
      </c>
      <c r="H23" s="1">
        <f t="shared" si="0"/>
        <v>7.6340000000000003</v>
      </c>
      <c r="I23" s="1">
        <f t="shared" si="1"/>
        <v>7.78</v>
      </c>
      <c r="J23" s="1">
        <f t="shared" si="2"/>
        <v>7.48</v>
      </c>
      <c r="K23" s="49">
        <f t="shared" si="3"/>
        <v>0.29999999999999982</v>
      </c>
      <c r="L23" s="50">
        <f t="shared" si="4"/>
        <v>7.8875183333333352</v>
      </c>
      <c r="M23" s="50">
        <f t="shared" si="5"/>
        <v>7.6124816666666684</v>
      </c>
      <c r="N23" s="50">
        <f t="shared" si="6"/>
        <v>0.50383666666666671</v>
      </c>
      <c r="O23" s="1">
        <v>20</v>
      </c>
    </row>
    <row r="24" spans="2:15">
      <c r="B24" s="9">
        <v>22</v>
      </c>
      <c r="C24" s="38">
        <v>7.29</v>
      </c>
      <c r="D24" s="39">
        <v>7.35</v>
      </c>
      <c r="E24" s="39">
        <v>7.38</v>
      </c>
      <c r="F24" s="39">
        <v>7.4</v>
      </c>
      <c r="G24" s="41">
        <v>7.4</v>
      </c>
      <c r="H24" s="1">
        <f t="shared" si="0"/>
        <v>7.3639999999999999</v>
      </c>
      <c r="I24" s="1">
        <f t="shared" si="1"/>
        <v>7.4</v>
      </c>
      <c r="J24" s="1">
        <f t="shared" si="2"/>
        <v>7.29</v>
      </c>
      <c r="K24" s="49">
        <f t="shared" si="3"/>
        <v>0.11000000000000032</v>
      </c>
      <c r="L24" s="50">
        <f t="shared" si="4"/>
        <v>7.8875183333333352</v>
      </c>
      <c r="M24" s="50">
        <f t="shared" si="5"/>
        <v>7.6124816666666684</v>
      </c>
      <c r="N24" s="50">
        <f t="shared" si="6"/>
        <v>0.50383666666666671</v>
      </c>
      <c r="O24" s="1">
        <v>21</v>
      </c>
    </row>
    <row r="25" spans="2:15">
      <c r="B25" s="9">
        <v>23</v>
      </c>
      <c r="C25" s="38">
        <v>7.89</v>
      </c>
      <c r="D25" s="39">
        <v>7.93</v>
      </c>
      <c r="E25" s="39">
        <v>7.48</v>
      </c>
      <c r="F25" s="39">
        <v>7.9</v>
      </c>
      <c r="G25" s="41">
        <v>7.98</v>
      </c>
      <c r="H25" s="1">
        <f t="shared" si="0"/>
        <v>7.8360000000000012</v>
      </c>
      <c r="I25" s="1">
        <f t="shared" si="1"/>
        <v>7.98</v>
      </c>
      <c r="J25" s="1">
        <f t="shared" si="2"/>
        <v>7.48</v>
      </c>
      <c r="K25" s="49">
        <f t="shared" si="3"/>
        <v>0.5</v>
      </c>
      <c r="L25" s="50">
        <f t="shared" si="4"/>
        <v>7.8875183333333352</v>
      </c>
      <c r="M25" s="50">
        <f t="shared" si="5"/>
        <v>7.6124816666666684</v>
      </c>
      <c r="N25" s="50">
        <f t="shared" si="6"/>
        <v>0.50383666666666671</v>
      </c>
      <c r="O25" s="1">
        <v>22</v>
      </c>
    </row>
    <row r="26" spans="2:15">
      <c r="B26" s="9">
        <v>24</v>
      </c>
      <c r="C26" s="38">
        <v>7.29</v>
      </c>
      <c r="D26" s="39">
        <v>7.44</v>
      </c>
      <c r="E26" s="39">
        <v>7.33</v>
      </c>
      <c r="F26" s="39">
        <v>7.4</v>
      </c>
      <c r="G26" s="41">
        <v>7.45</v>
      </c>
      <c r="H26" s="1">
        <f t="shared" si="0"/>
        <v>7.3820000000000006</v>
      </c>
      <c r="I26" s="1">
        <f t="shared" si="1"/>
        <v>7.45</v>
      </c>
      <c r="J26" s="1">
        <f t="shared" si="2"/>
        <v>7.29</v>
      </c>
      <c r="K26" s="49">
        <f t="shared" si="3"/>
        <v>0.16000000000000014</v>
      </c>
      <c r="L26" s="50">
        <f t="shared" si="4"/>
        <v>7.8875183333333352</v>
      </c>
      <c r="M26" s="50">
        <f t="shared" si="5"/>
        <v>7.6124816666666684</v>
      </c>
      <c r="N26" s="50">
        <f t="shared" si="6"/>
        <v>0.50383666666666671</v>
      </c>
      <c r="O26" s="1">
        <v>23</v>
      </c>
    </row>
    <row r="27" spans="2:15">
      <c r="B27" s="9">
        <v>25</v>
      </c>
      <c r="C27" s="38">
        <v>8.01</v>
      </c>
      <c r="D27" s="39">
        <v>7.88</v>
      </c>
      <c r="E27" s="39">
        <v>7.95</v>
      </c>
      <c r="F27" s="39">
        <v>7.95</v>
      </c>
      <c r="G27" s="41">
        <v>7.95</v>
      </c>
      <c r="H27" s="1">
        <f t="shared" si="0"/>
        <v>7.9480000000000004</v>
      </c>
      <c r="I27" s="1">
        <f t="shared" si="1"/>
        <v>8.01</v>
      </c>
      <c r="J27" s="1">
        <f t="shared" si="2"/>
        <v>7.88</v>
      </c>
      <c r="K27" s="49">
        <f t="shared" si="3"/>
        <v>0.12999999999999989</v>
      </c>
      <c r="L27" s="50">
        <f t="shared" si="4"/>
        <v>7.8875183333333352</v>
      </c>
      <c r="M27" s="50">
        <f t="shared" si="5"/>
        <v>7.6124816666666684</v>
      </c>
      <c r="N27" s="50">
        <f t="shared" si="6"/>
        <v>0.50383666666666671</v>
      </c>
      <c r="O27" s="1">
        <v>24</v>
      </c>
    </row>
    <row r="28" spans="2:15">
      <c r="B28" s="9">
        <v>26</v>
      </c>
      <c r="C28" s="38">
        <v>7.53</v>
      </c>
      <c r="D28" s="39">
        <v>7.63</v>
      </c>
      <c r="E28" s="39">
        <v>7.55</v>
      </c>
      <c r="F28" s="39">
        <v>7.52</v>
      </c>
      <c r="G28" s="41">
        <v>7.52</v>
      </c>
      <c r="H28" s="1">
        <f t="shared" si="0"/>
        <v>7.55</v>
      </c>
      <c r="I28" s="1">
        <f t="shared" si="1"/>
        <v>7.63</v>
      </c>
      <c r="J28" s="1">
        <f t="shared" si="2"/>
        <v>7.52</v>
      </c>
      <c r="K28" s="49">
        <f t="shared" si="3"/>
        <v>0.11000000000000032</v>
      </c>
      <c r="L28" s="50">
        <f t="shared" si="4"/>
        <v>7.8875183333333352</v>
      </c>
      <c r="M28" s="50">
        <f t="shared" si="5"/>
        <v>7.6124816666666684</v>
      </c>
      <c r="N28" s="50">
        <f t="shared" si="6"/>
        <v>0.50383666666666671</v>
      </c>
      <c r="O28" s="1">
        <v>25</v>
      </c>
    </row>
    <row r="29" spans="2:15">
      <c r="B29" s="9">
        <v>27</v>
      </c>
      <c r="C29" s="38">
        <v>7.38</v>
      </c>
      <c r="D29" s="39">
        <v>7.42</v>
      </c>
      <c r="E29" s="39">
        <v>7.4</v>
      </c>
      <c r="F29" s="39">
        <v>7.4</v>
      </c>
      <c r="G29" s="41">
        <v>7.4</v>
      </c>
      <c r="H29" s="1">
        <f t="shared" si="0"/>
        <v>7.4</v>
      </c>
      <c r="I29" s="1">
        <f t="shared" si="1"/>
        <v>7.42</v>
      </c>
      <c r="J29" s="1">
        <f t="shared" si="2"/>
        <v>7.38</v>
      </c>
      <c r="K29" s="49">
        <f t="shared" si="3"/>
        <v>4.0000000000000036E-2</v>
      </c>
      <c r="L29" s="50">
        <f t="shared" si="4"/>
        <v>7.8875183333333352</v>
      </c>
      <c r="M29" s="50">
        <f t="shared" si="5"/>
        <v>7.6124816666666684</v>
      </c>
      <c r="N29" s="50">
        <f t="shared" si="6"/>
        <v>0.50383666666666671</v>
      </c>
      <c r="O29" s="1">
        <v>26</v>
      </c>
    </row>
    <row r="30" spans="2:15">
      <c r="B30" s="9">
        <v>28</v>
      </c>
      <c r="C30" s="38">
        <v>7.39</v>
      </c>
      <c r="D30" s="39">
        <v>7.35</v>
      </c>
      <c r="E30" s="39">
        <v>7.6</v>
      </c>
      <c r="F30" s="39">
        <v>7.54</v>
      </c>
      <c r="G30" s="41">
        <v>7.54</v>
      </c>
      <c r="H30" s="1">
        <f t="shared" si="0"/>
        <v>7.4839999999999991</v>
      </c>
      <c r="I30" s="1">
        <f t="shared" si="1"/>
        <v>7.6</v>
      </c>
      <c r="J30" s="1">
        <f t="shared" si="2"/>
        <v>7.35</v>
      </c>
      <c r="K30" s="49">
        <f t="shared" si="3"/>
        <v>0.25</v>
      </c>
      <c r="L30" s="50">
        <f t="shared" si="4"/>
        <v>7.8875183333333352</v>
      </c>
      <c r="M30" s="50">
        <f t="shared" si="5"/>
        <v>7.6124816666666684</v>
      </c>
      <c r="N30" s="50">
        <f t="shared" si="6"/>
        <v>0.50383666666666671</v>
      </c>
      <c r="O30" s="1">
        <v>27</v>
      </c>
    </row>
    <row r="31" spans="2:15">
      <c r="B31" s="9">
        <v>29</v>
      </c>
      <c r="C31" s="38">
        <v>7.39</v>
      </c>
      <c r="D31" s="39">
        <v>7.28</v>
      </c>
      <c r="E31" s="39">
        <v>7.4</v>
      </c>
      <c r="F31" s="39">
        <v>7.38</v>
      </c>
      <c r="G31" s="41">
        <v>7.38</v>
      </c>
      <c r="H31" s="1">
        <f t="shared" si="0"/>
        <v>7.3659999999999997</v>
      </c>
      <c r="I31" s="1">
        <f t="shared" si="1"/>
        <v>7.4</v>
      </c>
      <c r="J31" s="1">
        <f t="shared" si="2"/>
        <v>7.28</v>
      </c>
      <c r="K31" s="49">
        <f t="shared" si="3"/>
        <v>0.12000000000000011</v>
      </c>
      <c r="L31" s="50">
        <f t="shared" si="4"/>
        <v>7.8875183333333352</v>
      </c>
      <c r="M31" s="50">
        <f t="shared" si="5"/>
        <v>7.6124816666666684</v>
      </c>
      <c r="N31" s="50">
        <f t="shared" si="6"/>
        <v>0.50383666666666671</v>
      </c>
      <c r="O31" s="1">
        <v>28</v>
      </c>
    </row>
    <row r="32" spans="2:15">
      <c r="B32" s="9">
        <v>30</v>
      </c>
      <c r="C32" s="38">
        <v>7.46</v>
      </c>
      <c r="D32" s="39">
        <v>7.65</v>
      </c>
      <c r="E32" s="39">
        <v>7.58</v>
      </c>
      <c r="F32" s="39">
        <v>7.55</v>
      </c>
      <c r="G32" s="51">
        <v>7.55</v>
      </c>
      <c r="H32" s="30">
        <f t="shared" si="0"/>
        <v>7.5579999999999998</v>
      </c>
      <c r="I32" s="30">
        <f t="shared" si="1"/>
        <v>7.65</v>
      </c>
      <c r="J32" s="30">
        <f t="shared" si="2"/>
        <v>7.46</v>
      </c>
      <c r="K32" s="52">
        <f t="shared" si="3"/>
        <v>0.19000000000000039</v>
      </c>
      <c r="L32" s="50">
        <f t="shared" si="4"/>
        <v>7.8875183333333352</v>
      </c>
      <c r="M32" s="50">
        <f t="shared" si="5"/>
        <v>7.6124816666666684</v>
      </c>
      <c r="N32" s="50">
        <f t="shared" si="6"/>
        <v>0.50383666666666671</v>
      </c>
      <c r="O32" s="1">
        <v>29</v>
      </c>
    </row>
    <row r="33" spans="7:11">
      <c r="G33" s="28" t="s">
        <v>123</v>
      </c>
      <c r="H33" s="28">
        <f>AVERAGE(H3:H32)</f>
        <v>7.7500000000000018</v>
      </c>
      <c r="I33" s="28"/>
      <c r="J33" s="28"/>
      <c r="K33" s="28">
        <f>AVERAGE(K3:K32)</f>
        <v>0.23833333333333337</v>
      </c>
    </row>
  </sheetData>
  <mergeCells count="2">
    <mergeCell ref="L1:M1"/>
    <mergeCell ref="N1:O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6"/>
  <sheetViews>
    <sheetView workbookViewId="0">
      <selection activeCell="H8" sqref="H8"/>
    </sheetView>
  </sheetViews>
  <sheetFormatPr defaultRowHeight="15"/>
  <sheetData>
    <row r="1" spans="1:17">
      <c r="A1" t="s">
        <v>131</v>
      </c>
    </row>
    <row r="2" spans="1:17" s="12" customFormat="1" ht="30">
      <c r="B2" s="47" t="s">
        <v>132</v>
      </c>
      <c r="C2" s="8" t="s">
        <v>133</v>
      </c>
      <c r="D2" s="8" t="s">
        <v>134</v>
      </c>
      <c r="E2" s="8" t="s">
        <v>135</v>
      </c>
      <c r="F2" s="8" t="s">
        <v>136</v>
      </c>
      <c r="G2" s="8" t="s">
        <v>137</v>
      </c>
      <c r="H2" s="8" t="s">
        <v>138</v>
      </c>
      <c r="I2" s="8" t="s">
        <v>139</v>
      </c>
      <c r="J2" s="8" t="s">
        <v>140</v>
      </c>
      <c r="K2" s="8" t="s">
        <v>141</v>
      </c>
      <c r="L2" s="8" t="s">
        <v>142</v>
      </c>
      <c r="M2" s="8" t="s">
        <v>143</v>
      </c>
      <c r="N2" s="8" t="s">
        <v>144</v>
      </c>
      <c r="O2" s="8" t="s">
        <v>145</v>
      </c>
      <c r="P2" s="8" t="s">
        <v>146</v>
      </c>
      <c r="Q2" s="8" t="s">
        <v>147</v>
      </c>
    </row>
    <row r="3" spans="1:17" ht="15.75" thickBot="1">
      <c r="B3" s="45">
        <v>2</v>
      </c>
      <c r="C3" s="46">
        <v>2.121</v>
      </c>
      <c r="D3" s="46">
        <v>1.88</v>
      </c>
      <c r="E3" s="46">
        <v>2.6589999999999998</v>
      </c>
      <c r="F3" s="46" t="s">
        <v>148</v>
      </c>
      <c r="G3" s="46">
        <v>3.2669999999999999</v>
      </c>
      <c r="H3" s="46" t="s">
        <v>148</v>
      </c>
      <c r="I3" s="46">
        <v>2.6059999999999999</v>
      </c>
      <c r="J3" s="46" t="s">
        <v>148</v>
      </c>
      <c r="K3" s="46">
        <v>3.6859999999999999</v>
      </c>
      <c r="L3" s="46" t="s">
        <v>148</v>
      </c>
      <c r="M3" s="46">
        <v>3.2669999999999999</v>
      </c>
      <c r="N3" s="46">
        <v>0.79790000000000005</v>
      </c>
      <c r="O3" s="46">
        <v>1.2533000000000001</v>
      </c>
      <c r="P3" s="46">
        <v>1.1279999999999999</v>
      </c>
      <c r="Q3" s="46">
        <v>0.88649999999999995</v>
      </c>
    </row>
    <row r="4" spans="1:17" ht="15.75" thickBot="1">
      <c r="B4" s="43">
        <v>3</v>
      </c>
      <c r="C4" s="44">
        <v>1.732</v>
      </c>
      <c r="D4" s="44">
        <v>1.0229999999999999</v>
      </c>
      <c r="E4" s="44">
        <v>1.954</v>
      </c>
      <c r="F4" s="44" t="s">
        <v>148</v>
      </c>
      <c r="G4" s="44">
        <v>2.5680000000000001</v>
      </c>
      <c r="H4" s="44" t="s">
        <v>148</v>
      </c>
      <c r="I4" s="44">
        <v>2.2759999999999998</v>
      </c>
      <c r="J4" s="44" t="s">
        <v>148</v>
      </c>
      <c r="K4" s="44">
        <v>4.3579999999999997</v>
      </c>
      <c r="L4" s="44" t="s">
        <v>148</v>
      </c>
      <c r="M4" s="44">
        <v>2.5739999999999998</v>
      </c>
      <c r="N4" s="44">
        <v>0.88619999999999999</v>
      </c>
      <c r="O4" s="44">
        <v>1.1284000000000001</v>
      </c>
      <c r="P4" s="44">
        <v>1.6930000000000001</v>
      </c>
      <c r="Q4" s="44">
        <v>0.5907</v>
      </c>
    </row>
    <row r="5" spans="1:17" ht="15.75" thickBot="1">
      <c r="B5" s="43">
        <v>4</v>
      </c>
      <c r="C5" s="44">
        <v>1.5</v>
      </c>
      <c r="D5" s="44">
        <v>0.72899999999999998</v>
      </c>
      <c r="E5" s="44">
        <v>1.6279999999999999</v>
      </c>
      <c r="F5" s="44" t="s">
        <v>148</v>
      </c>
      <c r="G5" s="44">
        <v>2.266</v>
      </c>
      <c r="H5" s="44" t="s">
        <v>148</v>
      </c>
      <c r="I5" s="44">
        <v>2.0880000000000001</v>
      </c>
      <c r="J5" s="44" t="s">
        <v>148</v>
      </c>
      <c r="K5" s="44">
        <v>4.6980000000000004</v>
      </c>
      <c r="L5" s="44" t="s">
        <v>148</v>
      </c>
      <c r="M5" s="44">
        <v>2.282</v>
      </c>
      <c r="N5" s="44">
        <v>0.92130000000000001</v>
      </c>
      <c r="O5" s="44">
        <v>1.0853999999999999</v>
      </c>
      <c r="P5" s="44">
        <v>2.0590000000000002</v>
      </c>
      <c r="Q5" s="44">
        <v>0.48570000000000002</v>
      </c>
    </row>
    <row r="6" spans="1:17" ht="15.75" thickBot="1">
      <c r="B6" s="43">
        <v>5</v>
      </c>
      <c r="C6" s="44">
        <v>1.3420000000000001</v>
      </c>
      <c r="D6" s="44">
        <v>0.57699999999999996</v>
      </c>
      <c r="E6" s="44">
        <v>1.427</v>
      </c>
      <c r="F6" s="44" t="s">
        <v>148</v>
      </c>
      <c r="G6" s="44">
        <v>2.089</v>
      </c>
      <c r="H6" s="44" t="s">
        <v>148</v>
      </c>
      <c r="I6" s="44">
        <v>1.964</v>
      </c>
      <c r="J6" s="44" t="s">
        <v>148</v>
      </c>
      <c r="K6" s="44">
        <v>4.9180000000000001</v>
      </c>
      <c r="L6" s="44" t="s">
        <v>148</v>
      </c>
      <c r="M6" s="44">
        <v>2.1139999999999999</v>
      </c>
      <c r="N6" s="44">
        <v>0.94</v>
      </c>
      <c r="O6" s="44">
        <v>1.0638000000000001</v>
      </c>
      <c r="P6" s="44">
        <v>2.3260000000000001</v>
      </c>
      <c r="Q6" s="44">
        <v>0.4299</v>
      </c>
    </row>
    <row r="7" spans="1:17" ht="15.75" thickBot="1">
      <c r="B7" s="43">
        <v>6</v>
      </c>
      <c r="C7" s="44">
        <v>1.2250000000000001</v>
      </c>
      <c r="D7" s="44">
        <v>0.48299999999999998</v>
      </c>
      <c r="E7" s="44">
        <v>1.2869999999999999</v>
      </c>
      <c r="F7" s="44">
        <v>0.03</v>
      </c>
      <c r="G7" s="44">
        <v>1.97</v>
      </c>
      <c r="H7" s="44">
        <v>2.9000000000000001E-2</v>
      </c>
      <c r="I7" s="44">
        <v>1.8740000000000001</v>
      </c>
      <c r="J7" s="44" t="s">
        <v>148</v>
      </c>
      <c r="K7" s="44">
        <v>5.0780000000000003</v>
      </c>
      <c r="L7" s="44" t="s">
        <v>148</v>
      </c>
      <c r="M7" s="44">
        <v>2.004</v>
      </c>
      <c r="N7" s="44">
        <v>0.95150000000000001</v>
      </c>
      <c r="O7" s="44">
        <v>1.0509999999999999</v>
      </c>
      <c r="P7" s="44">
        <v>2.5339999999999998</v>
      </c>
      <c r="Q7" s="44">
        <v>0.39460000000000001</v>
      </c>
    </row>
    <row r="8" spans="1:17" ht="15.75" thickBot="1">
      <c r="B8" s="43">
        <v>7</v>
      </c>
      <c r="C8" s="44">
        <v>1.1339999999999999</v>
      </c>
      <c r="D8" s="44">
        <v>0.41899999999999998</v>
      </c>
      <c r="E8" s="44">
        <v>1.1819999999999999</v>
      </c>
      <c r="F8" s="44">
        <v>0.11799999999999999</v>
      </c>
      <c r="G8" s="44">
        <v>1.8819999999999999</v>
      </c>
      <c r="H8" s="44">
        <v>0.113</v>
      </c>
      <c r="I8" s="44">
        <v>1.806</v>
      </c>
      <c r="J8" s="44">
        <v>0.20399999999999999</v>
      </c>
      <c r="K8" s="44">
        <v>5.2039999999999997</v>
      </c>
      <c r="L8" s="44">
        <v>7.5999999999999998E-2</v>
      </c>
      <c r="M8" s="44">
        <v>1.9239999999999999</v>
      </c>
      <c r="N8" s="44">
        <v>0.95940000000000003</v>
      </c>
      <c r="O8" s="44">
        <v>1.0423</v>
      </c>
      <c r="P8" s="44">
        <v>2.7040000000000002</v>
      </c>
      <c r="Q8" s="44">
        <v>0.36980000000000002</v>
      </c>
    </row>
    <row r="9" spans="1:17" ht="15.75" thickBot="1">
      <c r="B9" s="43">
        <v>8</v>
      </c>
      <c r="C9" s="44">
        <v>1.0609999999999999</v>
      </c>
      <c r="D9" s="44">
        <v>0.373</v>
      </c>
      <c r="E9" s="44">
        <v>1.099</v>
      </c>
      <c r="F9" s="44">
        <v>0.185</v>
      </c>
      <c r="G9" s="44">
        <v>1.8149999999999999</v>
      </c>
      <c r="H9" s="44">
        <v>0.17899999999999999</v>
      </c>
      <c r="I9" s="44">
        <v>1.7509999999999999</v>
      </c>
      <c r="J9" s="44">
        <v>0.38800000000000001</v>
      </c>
      <c r="K9" s="44">
        <v>5.306</v>
      </c>
      <c r="L9" s="44">
        <v>0.13600000000000001</v>
      </c>
      <c r="M9" s="44">
        <v>1.8640000000000001</v>
      </c>
      <c r="N9" s="44">
        <v>0.96499999999999997</v>
      </c>
      <c r="O9" s="44">
        <v>1.0363</v>
      </c>
      <c r="P9" s="44">
        <v>2.847</v>
      </c>
      <c r="Q9" s="44">
        <v>0.35120000000000001</v>
      </c>
    </row>
    <row r="10" spans="1:17" ht="15.75" thickBot="1">
      <c r="B10" s="43">
        <v>9</v>
      </c>
      <c r="C10" s="44">
        <v>1</v>
      </c>
      <c r="D10" s="44">
        <v>0.33700000000000002</v>
      </c>
      <c r="E10" s="44">
        <v>1.032</v>
      </c>
      <c r="F10" s="44">
        <v>0.23899999999999999</v>
      </c>
      <c r="G10" s="44">
        <v>1.7609999999999999</v>
      </c>
      <c r="H10" s="44">
        <v>0.23200000000000001</v>
      </c>
      <c r="I10" s="44">
        <v>1.7070000000000001</v>
      </c>
      <c r="J10" s="44">
        <v>0.54700000000000004</v>
      </c>
      <c r="K10" s="44">
        <v>5.3929999999999998</v>
      </c>
      <c r="L10" s="44">
        <v>0.184</v>
      </c>
      <c r="M10" s="44">
        <v>1.8160000000000001</v>
      </c>
      <c r="N10" s="44">
        <v>0.96930000000000005</v>
      </c>
      <c r="O10" s="44">
        <v>1.0317000000000001</v>
      </c>
      <c r="P10" s="44">
        <v>2.97</v>
      </c>
      <c r="Q10" s="44">
        <v>0.3367</v>
      </c>
    </row>
    <row r="11" spans="1:17" ht="15.75" thickBot="1">
      <c r="B11" s="43">
        <v>10</v>
      </c>
      <c r="C11" s="44">
        <v>0.94899999999999995</v>
      </c>
      <c r="D11" s="44">
        <v>0.308</v>
      </c>
      <c r="E11" s="44">
        <v>0.97499999999999998</v>
      </c>
      <c r="F11" s="44">
        <v>0.28399999999999997</v>
      </c>
      <c r="G11" s="44">
        <v>1.716</v>
      </c>
      <c r="H11" s="44">
        <v>0.27600000000000002</v>
      </c>
      <c r="I11" s="44">
        <v>1.669</v>
      </c>
      <c r="J11" s="44">
        <v>0.68700000000000006</v>
      </c>
      <c r="K11" s="44">
        <v>5.4690000000000003</v>
      </c>
      <c r="L11" s="44">
        <v>0.223</v>
      </c>
      <c r="M11" s="44">
        <v>1.7769999999999999</v>
      </c>
      <c r="N11" s="44">
        <v>0.97270000000000001</v>
      </c>
      <c r="O11" s="44">
        <v>1.0281</v>
      </c>
      <c r="P11" s="44">
        <v>3.0779999999999998</v>
      </c>
      <c r="Q11" s="44">
        <v>0.32490000000000002</v>
      </c>
    </row>
    <row r="12" spans="1:17" ht="15.75" thickBot="1">
      <c r="B12" s="43">
        <v>11</v>
      </c>
      <c r="C12" s="44">
        <v>0.90500000000000003</v>
      </c>
      <c r="D12" s="44">
        <v>0.28499999999999998</v>
      </c>
      <c r="E12" s="44">
        <v>0.92700000000000005</v>
      </c>
      <c r="F12" s="44">
        <v>0.32100000000000001</v>
      </c>
      <c r="G12" s="44">
        <v>1.679</v>
      </c>
      <c r="H12" s="44">
        <v>0.313</v>
      </c>
      <c r="I12" s="44">
        <v>1.637</v>
      </c>
      <c r="J12" s="44">
        <v>0.81100000000000005</v>
      </c>
      <c r="K12" s="44">
        <v>5.5350000000000001</v>
      </c>
      <c r="L12" s="44">
        <v>0.25600000000000001</v>
      </c>
      <c r="M12" s="44">
        <v>1.744</v>
      </c>
      <c r="N12" s="44">
        <v>0.97540000000000004</v>
      </c>
      <c r="O12" s="44">
        <v>1.0251999999999999</v>
      </c>
      <c r="P12" s="44">
        <v>3.173</v>
      </c>
      <c r="Q12" s="44">
        <v>0.31519999999999998</v>
      </c>
    </row>
    <row r="13" spans="1:17" ht="15.75" thickBot="1">
      <c r="B13" s="43">
        <v>12</v>
      </c>
      <c r="C13" s="44">
        <v>0.86599999999999999</v>
      </c>
      <c r="D13" s="44">
        <v>0.26600000000000001</v>
      </c>
      <c r="E13" s="44">
        <v>0.88600000000000001</v>
      </c>
      <c r="F13" s="44">
        <v>0.35399999999999998</v>
      </c>
      <c r="G13" s="44">
        <v>1.6459999999999999</v>
      </c>
      <c r="H13" s="44">
        <v>0.34599999999999997</v>
      </c>
      <c r="I13" s="44">
        <v>1.61</v>
      </c>
      <c r="J13" s="44">
        <v>0.92200000000000004</v>
      </c>
      <c r="K13" s="44">
        <v>5.5940000000000003</v>
      </c>
      <c r="L13" s="44">
        <v>0.28299999999999997</v>
      </c>
      <c r="M13" s="44">
        <v>1.7170000000000001</v>
      </c>
      <c r="N13" s="44">
        <v>0.97760000000000002</v>
      </c>
      <c r="O13" s="44">
        <v>1.0228999999999999</v>
      </c>
      <c r="P13" s="44">
        <v>3.258</v>
      </c>
      <c r="Q13" s="44">
        <v>0.30690000000000001</v>
      </c>
    </row>
    <row r="14" spans="1:17" ht="15.75" thickBot="1">
      <c r="B14" s="43">
        <v>13</v>
      </c>
      <c r="C14" s="44">
        <v>0.83199999999999996</v>
      </c>
      <c r="D14" s="44">
        <v>0.249</v>
      </c>
      <c r="E14" s="44">
        <v>0.85</v>
      </c>
      <c r="F14" s="44">
        <v>0.38200000000000001</v>
      </c>
      <c r="G14" s="44">
        <v>1.6180000000000001</v>
      </c>
      <c r="H14" s="44">
        <v>0.374</v>
      </c>
      <c r="I14" s="44">
        <v>1.585</v>
      </c>
      <c r="J14" s="44">
        <v>1.0249999999999999</v>
      </c>
      <c r="K14" s="44">
        <v>5.6470000000000002</v>
      </c>
      <c r="L14" s="44">
        <v>0.307</v>
      </c>
      <c r="M14" s="44">
        <v>1.6930000000000001</v>
      </c>
      <c r="N14" s="44">
        <v>0.97940000000000005</v>
      </c>
      <c r="O14" s="44">
        <v>1.0209999999999999</v>
      </c>
      <c r="P14" s="44">
        <v>3.3359999999999999</v>
      </c>
      <c r="Q14" s="44">
        <v>0.29980000000000001</v>
      </c>
    </row>
    <row r="15" spans="1:17" ht="15.75" thickBot="1">
      <c r="B15" s="43">
        <v>14</v>
      </c>
      <c r="C15" s="44">
        <v>0.80200000000000005</v>
      </c>
      <c r="D15" s="44">
        <v>0.23499999999999999</v>
      </c>
      <c r="E15" s="44">
        <v>0.81699999999999995</v>
      </c>
      <c r="F15" s="44">
        <v>0.40600000000000003</v>
      </c>
      <c r="G15" s="44">
        <v>1.5940000000000001</v>
      </c>
      <c r="H15" s="44">
        <v>0.39900000000000002</v>
      </c>
      <c r="I15" s="44">
        <v>1.5629999999999999</v>
      </c>
      <c r="J15" s="44">
        <v>1.1180000000000001</v>
      </c>
      <c r="K15" s="44">
        <v>5.6959999999999997</v>
      </c>
      <c r="L15" s="44">
        <v>0.32800000000000001</v>
      </c>
      <c r="M15" s="44">
        <v>1.6719999999999999</v>
      </c>
      <c r="N15" s="44">
        <v>0.98099999999999998</v>
      </c>
      <c r="O15" s="44">
        <v>1.0194000000000001</v>
      </c>
      <c r="P15" s="44">
        <v>3.407</v>
      </c>
      <c r="Q15" s="44">
        <v>0.29349999999999998</v>
      </c>
    </row>
    <row r="16" spans="1:17" ht="15.75" thickBot="1">
      <c r="B16" s="43">
        <v>15</v>
      </c>
      <c r="C16" s="44">
        <v>0.77500000000000002</v>
      </c>
      <c r="D16" s="44">
        <v>0.223</v>
      </c>
      <c r="E16" s="44">
        <v>0.78900000000000003</v>
      </c>
      <c r="F16" s="44">
        <v>0.42799999999999999</v>
      </c>
      <c r="G16" s="44">
        <v>1.5720000000000001</v>
      </c>
      <c r="H16" s="44">
        <v>0.42099999999999999</v>
      </c>
      <c r="I16" s="44">
        <v>1.544</v>
      </c>
      <c r="J16" s="44">
        <v>1.2030000000000001</v>
      </c>
      <c r="K16" s="44">
        <v>5.7409999999999997</v>
      </c>
      <c r="L16" s="44">
        <v>0.34699999999999998</v>
      </c>
      <c r="M16" s="44">
        <v>1.653</v>
      </c>
      <c r="N16" s="44">
        <v>0.98229999999999995</v>
      </c>
      <c r="O16" s="44">
        <v>1.018</v>
      </c>
      <c r="P16" s="44">
        <v>3.472</v>
      </c>
      <c r="Q16" s="44">
        <v>0.28799999999999998</v>
      </c>
    </row>
    <row r="17" spans="2:17" ht="15.75" thickBot="1">
      <c r="B17" s="43">
        <v>16</v>
      </c>
      <c r="C17" s="44">
        <v>0.75</v>
      </c>
      <c r="D17" s="44">
        <v>0.21199999999999999</v>
      </c>
      <c r="E17" s="44">
        <v>0.76300000000000001</v>
      </c>
      <c r="F17" s="44">
        <v>0.44800000000000001</v>
      </c>
      <c r="G17" s="44">
        <v>1.552</v>
      </c>
      <c r="H17" s="44">
        <v>0.44</v>
      </c>
      <c r="I17" s="44">
        <v>1.526</v>
      </c>
      <c r="J17" s="44">
        <v>1.282</v>
      </c>
      <c r="K17" s="44">
        <v>5.782</v>
      </c>
      <c r="L17" s="44">
        <v>0.36299999999999999</v>
      </c>
      <c r="M17" s="44">
        <v>1.637</v>
      </c>
      <c r="N17" s="44">
        <v>0.98350000000000004</v>
      </c>
      <c r="O17" s="44">
        <v>1.0167999999999999</v>
      </c>
      <c r="P17" s="44">
        <v>3.532</v>
      </c>
      <c r="Q17" s="44">
        <v>0.28310000000000002</v>
      </c>
    </row>
    <row r="18" spans="2:17" ht="15.75" thickBot="1">
      <c r="B18" s="43">
        <v>17</v>
      </c>
      <c r="C18" s="44">
        <v>0.72799999999999998</v>
      </c>
      <c r="D18" s="44">
        <v>0.20300000000000001</v>
      </c>
      <c r="E18" s="44">
        <v>0.73899999999999999</v>
      </c>
      <c r="F18" s="44">
        <v>0.46600000000000003</v>
      </c>
      <c r="G18" s="44">
        <v>1.534</v>
      </c>
      <c r="H18" s="44">
        <v>0.45800000000000002</v>
      </c>
      <c r="I18" s="44">
        <v>1.5109999999999999</v>
      </c>
      <c r="J18" s="44">
        <v>1.3560000000000001</v>
      </c>
      <c r="K18" s="44">
        <v>5.82</v>
      </c>
      <c r="L18" s="44">
        <v>0.378</v>
      </c>
      <c r="M18" s="44">
        <v>1.6220000000000001</v>
      </c>
      <c r="N18" s="44">
        <v>0.98450000000000004</v>
      </c>
      <c r="O18" s="44">
        <v>1.0157</v>
      </c>
      <c r="P18" s="44">
        <v>3.5880000000000001</v>
      </c>
      <c r="Q18" s="44">
        <v>0.2787</v>
      </c>
    </row>
    <row r="19" spans="2:17" ht="15.75" thickBot="1">
      <c r="B19" s="43">
        <v>18</v>
      </c>
      <c r="C19" s="44">
        <v>0.70699999999999996</v>
      </c>
      <c r="D19" s="44">
        <v>0.19400000000000001</v>
      </c>
      <c r="E19" s="44">
        <v>0.71799999999999997</v>
      </c>
      <c r="F19" s="44">
        <v>0.48199999999999998</v>
      </c>
      <c r="G19" s="44">
        <v>1.518</v>
      </c>
      <c r="H19" s="44">
        <v>0.47499999999999998</v>
      </c>
      <c r="I19" s="44">
        <v>1.496</v>
      </c>
      <c r="J19" s="44">
        <v>1.4239999999999999</v>
      </c>
      <c r="K19" s="44">
        <v>5.8559999999999999</v>
      </c>
      <c r="L19" s="44">
        <v>0.39100000000000001</v>
      </c>
      <c r="M19" s="44">
        <v>1.6080000000000001</v>
      </c>
      <c r="N19" s="44">
        <v>0.98540000000000005</v>
      </c>
      <c r="O19" s="44">
        <v>1.0147999999999999</v>
      </c>
      <c r="P19" s="44">
        <v>3.64</v>
      </c>
      <c r="Q19" s="44">
        <v>0.2747</v>
      </c>
    </row>
    <row r="20" spans="2:17" ht="15.75" thickBot="1">
      <c r="B20" s="43">
        <v>19</v>
      </c>
      <c r="C20" s="44">
        <v>0.68799999999999994</v>
      </c>
      <c r="D20" s="44">
        <v>0.187</v>
      </c>
      <c r="E20" s="44">
        <v>0.69799999999999995</v>
      </c>
      <c r="F20" s="44">
        <v>0.497</v>
      </c>
      <c r="G20" s="44">
        <v>1.5029999999999999</v>
      </c>
      <c r="H20" s="44">
        <v>0.49</v>
      </c>
      <c r="I20" s="44">
        <v>1.4830000000000001</v>
      </c>
      <c r="J20" s="44">
        <v>1.4870000000000001</v>
      </c>
      <c r="K20" s="44">
        <v>5.891</v>
      </c>
      <c r="L20" s="44">
        <v>0.40300000000000002</v>
      </c>
      <c r="M20" s="44">
        <v>1.597</v>
      </c>
      <c r="N20" s="44">
        <v>0.98619999999999997</v>
      </c>
      <c r="O20" s="44">
        <v>1.014</v>
      </c>
      <c r="P20" s="44">
        <v>3.6890000000000001</v>
      </c>
      <c r="Q20" s="44">
        <v>0.27110000000000001</v>
      </c>
    </row>
    <row r="21" spans="2:17" ht="15.75" thickBot="1">
      <c r="B21" s="43">
        <v>20</v>
      </c>
      <c r="C21" s="44">
        <v>0.67100000000000004</v>
      </c>
      <c r="D21" s="44">
        <v>0.18</v>
      </c>
      <c r="E21" s="44">
        <v>0.68</v>
      </c>
      <c r="F21" s="44">
        <v>0.51</v>
      </c>
      <c r="G21" s="44">
        <v>1.49</v>
      </c>
      <c r="H21" s="44">
        <v>0.504</v>
      </c>
      <c r="I21" s="44">
        <v>1.47</v>
      </c>
      <c r="J21" s="44">
        <v>1.5489999999999999</v>
      </c>
      <c r="K21" s="44">
        <v>5.9210000000000003</v>
      </c>
      <c r="L21" s="44">
        <v>0.41499999999999998</v>
      </c>
      <c r="M21" s="44">
        <v>1.585</v>
      </c>
      <c r="N21" s="44">
        <v>0.9869</v>
      </c>
      <c r="O21" s="44">
        <v>1.0133000000000001</v>
      </c>
      <c r="P21" s="44">
        <v>3.7349999999999999</v>
      </c>
      <c r="Q21" s="44">
        <v>0.26769999999999999</v>
      </c>
    </row>
    <row r="22" spans="2:17" ht="15.75" thickBot="1">
      <c r="B22" s="43">
        <v>21</v>
      </c>
      <c r="C22" s="44">
        <v>0.65500000000000003</v>
      </c>
      <c r="D22" s="44">
        <v>0.17299999999999999</v>
      </c>
      <c r="E22" s="44">
        <v>0.66300000000000003</v>
      </c>
      <c r="F22" s="44">
        <v>0.52300000000000002</v>
      </c>
      <c r="G22" s="44">
        <v>1.4770000000000001</v>
      </c>
      <c r="H22" s="44">
        <v>0.51600000000000001</v>
      </c>
      <c r="I22" s="44">
        <v>1.4590000000000001</v>
      </c>
      <c r="J22" s="44">
        <v>1.605</v>
      </c>
      <c r="K22" s="44">
        <v>5.9509999999999996</v>
      </c>
      <c r="L22" s="44">
        <v>0.42499999999999999</v>
      </c>
      <c r="M22" s="44">
        <v>1.575</v>
      </c>
      <c r="N22" s="44">
        <v>0.98760000000000003</v>
      </c>
      <c r="O22" s="44">
        <v>1.0125999999999999</v>
      </c>
      <c r="P22" s="44">
        <v>3.778</v>
      </c>
      <c r="Q22" s="44">
        <v>0.26469999999999999</v>
      </c>
    </row>
    <row r="23" spans="2:17" ht="15.75" thickBot="1">
      <c r="B23" s="43">
        <v>22</v>
      </c>
      <c r="C23" s="44">
        <v>0.64</v>
      </c>
      <c r="D23" s="44">
        <v>0.16700000000000001</v>
      </c>
      <c r="E23" s="44">
        <v>0.64700000000000002</v>
      </c>
      <c r="F23" s="44">
        <v>0.53400000000000003</v>
      </c>
      <c r="G23" s="44">
        <v>1.466</v>
      </c>
      <c r="H23" s="44">
        <v>0.52800000000000002</v>
      </c>
      <c r="I23" s="44">
        <v>1.448</v>
      </c>
      <c r="J23" s="44">
        <v>1.659</v>
      </c>
      <c r="K23" s="44">
        <v>5.9790000000000001</v>
      </c>
      <c r="L23" s="44">
        <v>0.434</v>
      </c>
      <c r="M23" s="44">
        <v>1.5660000000000001</v>
      </c>
      <c r="N23" s="44">
        <v>0.98819999999999997</v>
      </c>
      <c r="O23" s="44">
        <v>1.0119</v>
      </c>
      <c r="P23" s="44">
        <v>3.819</v>
      </c>
      <c r="Q23" s="44">
        <v>0.26179999999999998</v>
      </c>
    </row>
    <row r="24" spans="2:17" ht="15.75" thickBot="1">
      <c r="B24" s="43">
        <v>23</v>
      </c>
      <c r="C24" s="44">
        <v>0.626</v>
      </c>
      <c r="D24" s="44">
        <v>0.16200000000000001</v>
      </c>
      <c r="E24" s="44">
        <v>0.63300000000000001</v>
      </c>
      <c r="F24" s="44">
        <v>0.54500000000000004</v>
      </c>
      <c r="G24" s="44">
        <v>1.4550000000000001</v>
      </c>
      <c r="H24" s="44">
        <v>0.53900000000000003</v>
      </c>
      <c r="I24" s="44">
        <v>1.4379999999999999</v>
      </c>
      <c r="J24" s="44">
        <v>1.71</v>
      </c>
      <c r="K24" s="44">
        <v>6.0060000000000002</v>
      </c>
      <c r="L24" s="44">
        <v>0.443</v>
      </c>
      <c r="M24" s="44">
        <v>1.5569999999999999</v>
      </c>
      <c r="N24" s="44">
        <v>0.98870000000000002</v>
      </c>
      <c r="O24" s="44">
        <v>1.0114000000000001</v>
      </c>
      <c r="P24" s="44">
        <v>3.8580000000000001</v>
      </c>
      <c r="Q24" s="44">
        <v>0.25919999999999999</v>
      </c>
    </row>
    <row r="25" spans="2:17" ht="15.75" thickBot="1">
      <c r="B25" s="43">
        <v>24</v>
      </c>
      <c r="C25" s="44">
        <v>0.61199999999999999</v>
      </c>
      <c r="D25" s="44">
        <v>0.157</v>
      </c>
      <c r="E25" s="44">
        <v>0.61899999999999999</v>
      </c>
      <c r="F25" s="44">
        <v>0.55500000000000005</v>
      </c>
      <c r="G25" s="44">
        <v>1.4450000000000001</v>
      </c>
      <c r="H25" s="44">
        <v>0.54900000000000004</v>
      </c>
      <c r="I25" s="44">
        <v>1.429</v>
      </c>
      <c r="J25" s="44">
        <v>1.7589999999999999</v>
      </c>
      <c r="K25" s="44">
        <v>6.0309999999999997</v>
      </c>
      <c r="L25" s="44">
        <v>0.45100000000000001</v>
      </c>
      <c r="M25" s="44">
        <v>1.548</v>
      </c>
      <c r="N25" s="44">
        <v>0.98919999999999997</v>
      </c>
      <c r="O25" s="44">
        <v>1.0108999999999999</v>
      </c>
      <c r="P25" s="44">
        <v>3.895</v>
      </c>
      <c r="Q25" s="44">
        <v>0.25669999999999998</v>
      </c>
    </row>
    <row r="26" spans="2:17" ht="15.75" thickBot="1">
      <c r="B26" s="43">
        <v>25</v>
      </c>
      <c r="C26" s="44">
        <v>0.6</v>
      </c>
      <c r="D26" s="44">
        <v>0.153</v>
      </c>
      <c r="E26" s="44">
        <v>0.60599999999999998</v>
      </c>
      <c r="F26" s="44">
        <v>0.56499999999999995</v>
      </c>
      <c r="G26" s="44">
        <v>1.4350000000000001</v>
      </c>
      <c r="H26" s="44">
        <v>0.55900000000000005</v>
      </c>
      <c r="I26" s="44">
        <v>1.42</v>
      </c>
      <c r="J26" s="44">
        <v>1.806</v>
      </c>
      <c r="K26" s="44">
        <v>6.056</v>
      </c>
      <c r="L26" s="44">
        <v>0.45900000000000002</v>
      </c>
      <c r="M26" s="44">
        <v>1.5409999999999999</v>
      </c>
      <c r="N26" s="44">
        <v>0.98960000000000004</v>
      </c>
      <c r="O26" s="44">
        <v>1.0105</v>
      </c>
      <c r="P26" s="44">
        <v>3.931</v>
      </c>
      <c r="Q26" s="44">
        <v>0.25440000000000002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"/>
  <sheetViews>
    <sheetView workbookViewId="0">
      <selection activeCell="D4" sqref="A1:N6"/>
    </sheetView>
  </sheetViews>
  <sheetFormatPr defaultRowHeight="15"/>
  <sheetData>
    <row r="1" spans="1:14" ht="15.75">
      <c r="A1" s="57" t="s">
        <v>149</v>
      </c>
      <c r="B1" s="58" t="s">
        <v>150</v>
      </c>
      <c r="C1" s="58" t="s">
        <v>151</v>
      </c>
      <c r="D1" s="58" t="s">
        <v>152</v>
      </c>
      <c r="E1" s="58" t="s">
        <v>153</v>
      </c>
      <c r="F1" s="58" t="s">
        <v>154</v>
      </c>
      <c r="G1" s="58" t="s">
        <v>155</v>
      </c>
      <c r="H1" s="58" t="s">
        <v>156</v>
      </c>
      <c r="I1" s="58" t="s">
        <v>157</v>
      </c>
      <c r="J1" s="58" t="s">
        <v>158</v>
      </c>
      <c r="K1" s="58" t="s">
        <v>159</v>
      </c>
      <c r="L1" s="58" t="s">
        <v>160</v>
      </c>
      <c r="M1" s="58" t="s">
        <v>161</v>
      </c>
      <c r="N1" s="59" t="s">
        <v>162</v>
      </c>
    </row>
    <row r="2" spans="1:14">
      <c r="A2" s="60">
        <v>84.7</v>
      </c>
      <c r="B2" s="61">
        <v>83.6</v>
      </c>
      <c r="C2" s="61">
        <v>93.7</v>
      </c>
      <c r="D2" s="61">
        <v>95.9</v>
      </c>
      <c r="E2" s="61">
        <v>91.9</v>
      </c>
      <c r="F2" s="61">
        <v>87.2</v>
      </c>
      <c r="G2" s="61">
        <v>95.8</v>
      </c>
      <c r="H2" s="61">
        <v>93.1</v>
      </c>
      <c r="I2" s="61">
        <v>88.1</v>
      </c>
      <c r="J2" s="61">
        <v>90.8</v>
      </c>
      <c r="K2" s="61">
        <v>91.9</v>
      </c>
      <c r="L2" s="61">
        <v>93.7</v>
      </c>
      <c r="M2" s="61">
        <v>87.8</v>
      </c>
      <c r="N2" s="62">
        <v>88.2</v>
      </c>
    </row>
    <row r="3" spans="1:14">
      <c r="A3" s="60">
        <v>86.2</v>
      </c>
      <c r="B3" s="61">
        <v>94.5</v>
      </c>
      <c r="C3" s="61">
        <v>97.4</v>
      </c>
      <c r="D3" s="61">
        <v>86.6</v>
      </c>
      <c r="E3" s="61">
        <v>87</v>
      </c>
      <c r="F3" s="61">
        <v>88.5</v>
      </c>
      <c r="G3" s="61">
        <v>90.3</v>
      </c>
      <c r="H3" s="61">
        <v>88.1</v>
      </c>
      <c r="I3" s="61">
        <v>95.6</v>
      </c>
      <c r="J3" s="61">
        <v>95.5</v>
      </c>
      <c r="K3" s="61">
        <v>93.9</v>
      </c>
      <c r="L3" s="61">
        <v>102.1</v>
      </c>
      <c r="M3" s="61">
        <v>93.7</v>
      </c>
      <c r="N3" s="62">
        <v>92.3</v>
      </c>
    </row>
    <row r="4" spans="1:14">
      <c r="A4" s="60">
        <v>83.3</v>
      </c>
      <c r="B4" s="61">
        <v>88.8</v>
      </c>
      <c r="C4" s="61">
        <v>83.2</v>
      </c>
      <c r="D4" s="61">
        <v>89.7</v>
      </c>
      <c r="E4" s="61">
        <v>99.5</v>
      </c>
      <c r="F4" s="61">
        <v>89.5</v>
      </c>
      <c r="G4" s="61">
        <v>93.5</v>
      </c>
      <c r="H4" s="61">
        <v>89.3</v>
      </c>
      <c r="I4" s="61">
        <v>80.5</v>
      </c>
      <c r="J4" s="61">
        <v>94.6</v>
      </c>
      <c r="K4" s="61">
        <v>88.8</v>
      </c>
      <c r="L4" s="61">
        <v>96.3</v>
      </c>
      <c r="M4" s="61">
        <v>87.5</v>
      </c>
      <c r="N4" s="62">
        <v>91.8</v>
      </c>
    </row>
    <row r="5" spans="1:14">
      <c r="A5" s="60">
        <v>91.4</v>
      </c>
      <c r="B5" s="61">
        <v>96.6</v>
      </c>
      <c r="C5" s="61">
        <v>97.5</v>
      </c>
      <c r="D5" s="61">
        <v>88</v>
      </c>
      <c r="E5" s="61">
        <v>82.6</v>
      </c>
      <c r="F5" s="61">
        <v>79.900000000000006</v>
      </c>
      <c r="G5" s="61">
        <v>93.2</v>
      </c>
      <c r="H5" s="61">
        <v>90.4</v>
      </c>
      <c r="I5" s="61">
        <v>91</v>
      </c>
      <c r="J5" s="61">
        <v>89.1</v>
      </c>
      <c r="K5" s="61">
        <v>79.5</v>
      </c>
      <c r="L5" s="61">
        <v>97.4</v>
      </c>
      <c r="M5" s="61">
        <v>93.9</v>
      </c>
      <c r="N5" s="62">
        <v>88.7</v>
      </c>
    </row>
    <row r="6" spans="1:14">
      <c r="A6" s="60">
        <v>86.3</v>
      </c>
      <c r="B6" s="61">
        <v>82.5</v>
      </c>
      <c r="C6" s="61">
        <v>86</v>
      </c>
      <c r="D6" s="61">
        <v>89.1</v>
      </c>
      <c r="E6" s="61">
        <v>94.5</v>
      </c>
      <c r="F6" s="61">
        <v>86.4</v>
      </c>
      <c r="G6" s="61">
        <v>90.3</v>
      </c>
      <c r="H6" s="61">
        <v>96.9</v>
      </c>
      <c r="I6" s="61">
        <v>94</v>
      </c>
      <c r="J6" s="61">
        <v>89.2</v>
      </c>
      <c r="K6" s="61">
        <v>90</v>
      </c>
      <c r="L6" s="61">
        <v>99.2</v>
      </c>
      <c r="M6" s="61">
        <v>77.2</v>
      </c>
      <c r="N6" s="62">
        <v>85.6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"/>
  <sheetViews>
    <sheetView workbookViewId="0">
      <selection activeCell="F4" sqref="A1:N6"/>
    </sheetView>
  </sheetViews>
  <sheetFormatPr defaultRowHeight="15"/>
  <sheetData>
    <row r="1" spans="1:14" ht="15.75">
      <c r="A1" s="63" t="s">
        <v>149</v>
      </c>
      <c r="B1" s="63" t="s">
        <v>150</v>
      </c>
      <c r="C1" s="63" t="s">
        <v>151</v>
      </c>
      <c r="D1" s="63" t="s">
        <v>152</v>
      </c>
      <c r="E1" s="63" t="s">
        <v>153</v>
      </c>
      <c r="F1" s="63" t="s">
        <v>154</v>
      </c>
      <c r="G1" s="63" t="s">
        <v>155</v>
      </c>
      <c r="H1" s="63" t="s">
        <v>156</v>
      </c>
      <c r="I1" s="63" t="s">
        <v>157</v>
      </c>
      <c r="J1" s="63" t="s">
        <v>158</v>
      </c>
      <c r="K1" s="63" t="s">
        <v>159</v>
      </c>
      <c r="L1" s="63" t="s">
        <v>160</v>
      </c>
      <c r="M1" s="63" t="s">
        <v>161</v>
      </c>
      <c r="N1" s="63" t="s">
        <v>162</v>
      </c>
    </row>
    <row r="2" spans="1:14" ht="17.25">
      <c r="A2" s="64">
        <v>90.7</v>
      </c>
      <c r="B2" s="64">
        <v>87.9</v>
      </c>
      <c r="C2" s="64">
        <v>91.2</v>
      </c>
      <c r="D2" s="64">
        <v>91.7</v>
      </c>
      <c r="E2" s="64">
        <v>87.6</v>
      </c>
      <c r="F2" s="64">
        <v>93.8</v>
      </c>
      <c r="G2" s="64">
        <v>92.2</v>
      </c>
      <c r="H2" s="64">
        <v>89</v>
      </c>
      <c r="I2" s="64">
        <v>87.9</v>
      </c>
      <c r="J2" s="64">
        <v>89.1</v>
      </c>
      <c r="K2" s="64">
        <v>90.8</v>
      </c>
      <c r="L2" s="64">
        <v>91.5</v>
      </c>
      <c r="M2" s="64">
        <v>93.3</v>
      </c>
      <c r="N2" s="64">
        <v>86.4</v>
      </c>
    </row>
    <row r="3" spans="1:14" ht="17.25">
      <c r="A3" s="64">
        <v>91.8</v>
      </c>
      <c r="B3" s="64">
        <v>89.7</v>
      </c>
      <c r="C3" s="64">
        <v>89.1</v>
      </c>
      <c r="D3" s="64">
        <v>88.6</v>
      </c>
      <c r="E3" s="64">
        <v>90</v>
      </c>
      <c r="F3" s="64">
        <v>88.4</v>
      </c>
      <c r="G3" s="64">
        <v>90.2</v>
      </c>
      <c r="H3" s="64">
        <v>87.4</v>
      </c>
      <c r="I3" s="64">
        <v>92</v>
      </c>
      <c r="J3" s="64">
        <v>92.6</v>
      </c>
      <c r="K3" s="64">
        <v>88.7</v>
      </c>
      <c r="L3" s="64">
        <v>90.4</v>
      </c>
      <c r="M3" s="64">
        <v>88.4</v>
      </c>
      <c r="N3" s="64">
        <v>91.4</v>
      </c>
    </row>
    <row r="4" spans="1:14" ht="17.25">
      <c r="A4" s="64">
        <v>91.5</v>
      </c>
      <c r="B4" s="64">
        <v>93.5</v>
      </c>
      <c r="C4" s="64">
        <v>84.6</v>
      </c>
      <c r="D4" s="64">
        <v>90.5</v>
      </c>
      <c r="E4" s="64">
        <v>87.6</v>
      </c>
      <c r="F4" s="64">
        <v>92.3</v>
      </c>
      <c r="G4" s="64">
        <v>89.8</v>
      </c>
      <c r="H4" s="64">
        <v>92.2</v>
      </c>
      <c r="I4" s="64">
        <v>90.2</v>
      </c>
      <c r="J4" s="64">
        <v>89.1</v>
      </c>
      <c r="K4" s="64">
        <v>91.2</v>
      </c>
      <c r="L4" s="64">
        <v>87.9</v>
      </c>
      <c r="M4" s="64">
        <v>88.5</v>
      </c>
      <c r="N4" s="64">
        <v>87.8</v>
      </c>
    </row>
    <row r="5" spans="1:14" ht="17.25">
      <c r="A5" s="64">
        <v>89.6</v>
      </c>
      <c r="B5" s="64">
        <v>91.2</v>
      </c>
      <c r="C5" s="64">
        <v>88.8</v>
      </c>
      <c r="D5" s="64">
        <v>89.9</v>
      </c>
      <c r="E5" s="64">
        <v>88.4</v>
      </c>
      <c r="F5" s="64">
        <v>89.5</v>
      </c>
      <c r="G5" s="64">
        <v>88.1</v>
      </c>
      <c r="H5" s="64">
        <v>86.8</v>
      </c>
      <c r="I5" s="64">
        <v>94.7</v>
      </c>
      <c r="J5" s="64">
        <v>88</v>
      </c>
      <c r="K5" s="64">
        <v>86.1</v>
      </c>
      <c r="L5" s="64">
        <v>86.9</v>
      </c>
      <c r="M5" s="64">
        <v>87.6</v>
      </c>
      <c r="N5" s="64">
        <v>89.6</v>
      </c>
    </row>
    <row r="6" spans="1:14" ht="17.25">
      <c r="A6" s="64">
        <v>88.2</v>
      </c>
      <c r="B6" s="64">
        <v>92.4</v>
      </c>
      <c r="C6" s="64">
        <v>91</v>
      </c>
      <c r="D6" s="64">
        <v>88.1</v>
      </c>
      <c r="E6" s="64">
        <v>94.1</v>
      </c>
      <c r="F6" s="64">
        <v>86.7</v>
      </c>
      <c r="G6" s="64">
        <v>87.2</v>
      </c>
      <c r="H6" s="64">
        <v>89.8</v>
      </c>
      <c r="I6" s="64">
        <v>93.8</v>
      </c>
      <c r="J6" s="64">
        <v>91.3</v>
      </c>
      <c r="K6" s="64">
        <v>89.7</v>
      </c>
      <c r="L6" s="64">
        <v>88.1</v>
      </c>
      <c r="M6" s="64">
        <v>91.7</v>
      </c>
      <c r="N6" s="64">
        <v>86.7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6"/>
  <sheetViews>
    <sheetView topLeftCell="A7" workbookViewId="0">
      <selection activeCell="B17" sqref="A1:B26"/>
    </sheetView>
  </sheetViews>
  <sheetFormatPr defaultRowHeight="15"/>
  <sheetData>
    <row r="1" spans="1:2" ht="23.25" thickBot="1">
      <c r="A1" s="65" t="s">
        <v>163</v>
      </c>
      <c r="B1" s="65" t="s">
        <v>164</v>
      </c>
    </row>
    <row r="2" spans="1:2">
      <c r="A2" s="66">
        <v>1</v>
      </c>
      <c r="B2" s="66">
        <v>1.01</v>
      </c>
    </row>
    <row r="3" spans="1:2">
      <c r="A3" s="67">
        <v>2</v>
      </c>
      <c r="B3" s="67">
        <v>0.98</v>
      </c>
    </row>
    <row r="4" spans="1:2">
      <c r="A4" s="67">
        <v>3</v>
      </c>
      <c r="B4" s="67">
        <v>1.04</v>
      </c>
    </row>
    <row r="5" spans="1:2">
      <c r="A5" s="67">
        <v>4</v>
      </c>
      <c r="B5" s="67">
        <v>1.07</v>
      </c>
    </row>
    <row r="6" spans="1:2">
      <c r="A6" s="67">
        <v>5</v>
      </c>
      <c r="B6" s="67">
        <v>1.02</v>
      </c>
    </row>
    <row r="7" spans="1:2">
      <c r="A7" s="67">
        <v>6</v>
      </c>
      <c r="B7" s="67">
        <v>1.03</v>
      </c>
    </row>
    <row r="8" spans="1:2">
      <c r="A8" s="67">
        <v>7</v>
      </c>
      <c r="B8" s="67">
        <v>0.98</v>
      </c>
    </row>
    <row r="9" spans="1:2">
      <c r="A9" s="67">
        <v>8</v>
      </c>
      <c r="B9" s="67">
        <v>1.01</v>
      </c>
    </row>
    <row r="10" spans="1:2">
      <c r="A10" s="67">
        <v>9</v>
      </c>
      <c r="B10" s="67">
        <v>0.97</v>
      </c>
    </row>
    <row r="11" spans="1:2">
      <c r="A11" s="67">
        <v>10</v>
      </c>
      <c r="B11" s="67">
        <v>1.01</v>
      </c>
    </row>
    <row r="12" spans="1:2">
      <c r="A12" s="67">
        <v>11</v>
      </c>
      <c r="B12" s="67">
        <v>1.04</v>
      </c>
    </row>
    <row r="13" spans="1:2">
      <c r="A13" s="67">
        <v>12</v>
      </c>
      <c r="B13" s="67">
        <v>1.02</v>
      </c>
    </row>
    <row r="14" spans="1:2">
      <c r="A14" s="67">
        <v>13</v>
      </c>
      <c r="B14" s="67">
        <v>1.05</v>
      </c>
    </row>
    <row r="15" spans="1:2">
      <c r="A15" s="67">
        <v>14</v>
      </c>
      <c r="B15" s="67">
        <v>1</v>
      </c>
    </row>
    <row r="16" spans="1:2">
      <c r="A16" s="67">
        <v>15</v>
      </c>
      <c r="B16" s="67">
        <v>0.96</v>
      </c>
    </row>
    <row r="17" spans="1:2">
      <c r="A17" s="67">
        <v>16</v>
      </c>
      <c r="B17" s="67">
        <v>0.99</v>
      </c>
    </row>
    <row r="18" spans="1:2">
      <c r="A18" s="67">
        <v>17</v>
      </c>
      <c r="B18" s="67">
        <v>1.03</v>
      </c>
    </row>
    <row r="19" spans="1:2">
      <c r="A19" s="67">
        <v>18</v>
      </c>
      <c r="B19" s="67">
        <v>1</v>
      </c>
    </row>
    <row r="20" spans="1:2">
      <c r="A20" s="67">
        <v>19</v>
      </c>
      <c r="B20" s="67">
        <v>1.06</v>
      </c>
    </row>
    <row r="21" spans="1:2">
      <c r="A21" s="67">
        <v>20</v>
      </c>
      <c r="B21" s="67">
        <v>1.02</v>
      </c>
    </row>
    <row r="22" spans="1:2">
      <c r="A22" s="67">
        <v>21</v>
      </c>
      <c r="B22" s="67">
        <v>0.98</v>
      </c>
    </row>
    <row r="23" spans="1:2">
      <c r="A23" s="67">
        <v>22</v>
      </c>
      <c r="B23" s="67">
        <v>1</v>
      </c>
    </row>
    <row r="24" spans="1:2">
      <c r="A24" s="67">
        <v>23</v>
      </c>
      <c r="B24" s="67">
        <v>1.04</v>
      </c>
    </row>
    <row r="25" spans="1:2">
      <c r="A25" s="67">
        <v>24</v>
      </c>
      <c r="B25" s="67">
        <v>0.96</v>
      </c>
    </row>
    <row r="26" spans="1:2">
      <c r="A26" s="67">
        <v>25</v>
      </c>
      <c r="B26" s="67">
        <v>1.01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7"/>
  <sheetViews>
    <sheetView workbookViewId="0">
      <selection activeCell="C2" sqref="A1:C17"/>
    </sheetView>
  </sheetViews>
  <sheetFormatPr defaultRowHeight="15"/>
  <sheetData>
    <row r="1" spans="1:3" ht="33">
      <c r="A1" s="68" t="s">
        <v>165</v>
      </c>
      <c r="B1" s="69" t="s">
        <v>166</v>
      </c>
      <c r="C1" s="69" t="s">
        <v>167</v>
      </c>
    </row>
    <row r="2" spans="1:3" ht="33">
      <c r="A2" s="70" t="s">
        <v>168</v>
      </c>
      <c r="B2" s="71">
        <v>100</v>
      </c>
      <c r="C2" s="71">
        <v>30</v>
      </c>
    </row>
    <row r="3" spans="1:3" ht="33">
      <c r="A3" s="70" t="s">
        <v>169</v>
      </c>
      <c r="B3" s="71">
        <v>98</v>
      </c>
      <c r="C3" s="71">
        <v>28</v>
      </c>
    </row>
    <row r="4" spans="1:3" ht="33">
      <c r="A4" s="70" t="s">
        <v>170</v>
      </c>
      <c r="B4" s="71">
        <v>101</v>
      </c>
      <c r="C4" s="71">
        <v>25</v>
      </c>
    </row>
    <row r="5" spans="1:3" ht="33">
      <c r="A5" s="70" t="s">
        <v>171</v>
      </c>
      <c r="B5" s="71">
        <v>102</v>
      </c>
      <c r="C5" s="71">
        <v>26</v>
      </c>
    </row>
    <row r="6" spans="1:3" ht="33">
      <c r="A6" s="70" t="s">
        <v>172</v>
      </c>
      <c r="B6" s="71">
        <v>103</v>
      </c>
      <c r="C6" s="71">
        <v>24</v>
      </c>
    </row>
    <row r="7" spans="1:3" ht="33">
      <c r="A7" s="70" t="s">
        <v>173</v>
      </c>
      <c r="B7" s="71">
        <v>99</v>
      </c>
      <c r="C7" s="71">
        <v>22</v>
      </c>
    </row>
    <row r="8" spans="1:3" ht="33">
      <c r="A8" s="70" t="s">
        <v>174</v>
      </c>
      <c r="B8" s="71">
        <v>95</v>
      </c>
      <c r="C8" s="71">
        <v>20</v>
      </c>
    </row>
    <row r="9" spans="1:3" ht="33">
      <c r="A9" s="70" t="s">
        <v>175</v>
      </c>
      <c r="B9" s="71">
        <v>97</v>
      </c>
      <c r="C9" s="71">
        <v>26</v>
      </c>
    </row>
    <row r="10" spans="1:3" ht="33">
      <c r="A10" s="70" t="s">
        <v>176</v>
      </c>
      <c r="B10" s="71">
        <v>95</v>
      </c>
      <c r="C10" s="71">
        <v>25</v>
      </c>
    </row>
    <row r="11" spans="1:3" ht="33">
      <c r="A11" s="70" t="s">
        <v>177</v>
      </c>
      <c r="B11" s="71">
        <v>99</v>
      </c>
      <c r="C11" s="71">
        <v>19</v>
      </c>
    </row>
    <row r="12" spans="1:3" ht="33">
      <c r="A12" s="70" t="s">
        <v>178</v>
      </c>
      <c r="B12" s="71">
        <v>95</v>
      </c>
      <c r="C12" s="71">
        <v>20</v>
      </c>
    </row>
    <row r="13" spans="1:3" ht="33">
      <c r="A13" s="70" t="s">
        <v>179</v>
      </c>
      <c r="B13" s="71">
        <v>97</v>
      </c>
      <c r="C13" s="71">
        <v>18</v>
      </c>
    </row>
    <row r="14" spans="1:3" ht="33">
      <c r="A14" s="70" t="s">
        <v>180</v>
      </c>
      <c r="B14" s="71">
        <v>99</v>
      </c>
      <c r="C14" s="71">
        <v>16</v>
      </c>
    </row>
    <row r="15" spans="1:3" ht="33">
      <c r="A15" s="70" t="s">
        <v>181</v>
      </c>
      <c r="B15" s="71">
        <v>102</v>
      </c>
      <c r="C15" s="71">
        <v>10</v>
      </c>
    </row>
    <row r="16" spans="1:3" ht="33">
      <c r="A16" s="70" t="s">
        <v>182</v>
      </c>
      <c r="B16" s="71">
        <v>99</v>
      </c>
      <c r="C16" s="71">
        <v>12</v>
      </c>
    </row>
    <row r="17" spans="1:3" ht="33">
      <c r="A17" s="70" t="s">
        <v>183</v>
      </c>
      <c r="B17" s="71">
        <v>97</v>
      </c>
      <c r="C17" s="71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"/>
  <sheetViews>
    <sheetView workbookViewId="0">
      <selection activeCell="I16" sqref="I16"/>
    </sheetView>
  </sheetViews>
  <sheetFormatPr defaultRowHeight="15"/>
  <cols>
    <col min="1" max="1" width="10.75" bestFit="1" customWidth="1"/>
  </cols>
  <sheetData>
    <row r="1" spans="1:9">
      <c r="A1" s="72" t="s">
        <v>165</v>
      </c>
      <c r="B1" s="72" t="s">
        <v>184</v>
      </c>
      <c r="C1" s="72" t="s">
        <v>185</v>
      </c>
      <c r="D1" s="72" t="s">
        <v>186</v>
      </c>
      <c r="E1" s="72" t="s">
        <v>187</v>
      </c>
      <c r="F1" s="72" t="s">
        <v>188</v>
      </c>
      <c r="G1" s="73" t="s">
        <v>189</v>
      </c>
    </row>
    <row r="2" spans="1:9">
      <c r="A2" s="74">
        <v>43794</v>
      </c>
      <c r="B2" s="75">
        <v>2.0070000000000001</v>
      </c>
      <c r="C2" s="75">
        <v>1.9950000000000001</v>
      </c>
      <c r="D2" s="75">
        <v>1.9990000000000001</v>
      </c>
      <c r="E2" s="75">
        <v>2.0289999999999999</v>
      </c>
      <c r="F2" s="75">
        <v>2.0099999999999998</v>
      </c>
      <c r="G2" s="73">
        <v>2.008</v>
      </c>
      <c r="I2" t="s">
        <v>190</v>
      </c>
    </row>
    <row r="3" spans="1:9">
      <c r="A3" s="74">
        <v>43795</v>
      </c>
      <c r="B3" s="75">
        <v>2.0219999999999998</v>
      </c>
      <c r="C3" s="75">
        <v>2.0259999999999998</v>
      </c>
      <c r="D3" s="75">
        <v>2.02</v>
      </c>
      <c r="E3" s="75">
        <v>2.0230000000000001</v>
      </c>
      <c r="F3" s="75">
        <v>2.024</v>
      </c>
      <c r="G3" s="73">
        <v>2.0230000000000001</v>
      </c>
    </row>
    <row r="4" spans="1:9">
      <c r="A4" s="74">
        <v>43796</v>
      </c>
      <c r="B4" s="75">
        <v>2.0089999999999999</v>
      </c>
      <c r="C4" s="75">
        <v>2.0049999999999999</v>
      </c>
      <c r="D4" s="75">
        <v>2.0059999999999998</v>
      </c>
      <c r="E4" s="75">
        <v>2.0129999999999999</v>
      </c>
      <c r="F4" s="75">
        <v>2.0070000000000001</v>
      </c>
      <c r="G4" s="73">
        <v>2.008</v>
      </c>
    </row>
    <row r="5" spans="1:9">
      <c r="A5" s="74">
        <v>43797</v>
      </c>
      <c r="B5" s="75">
        <v>2.0150000000000001</v>
      </c>
      <c r="C5" s="75">
        <v>2.0249999999999999</v>
      </c>
      <c r="D5" s="75">
        <v>2.0299999999999998</v>
      </c>
      <c r="E5" s="75">
        <v>2.0139999999999998</v>
      </c>
      <c r="F5" s="75">
        <v>2.004</v>
      </c>
      <c r="G5" s="73">
        <v>2.0179999999999998</v>
      </c>
    </row>
    <row r="6" spans="1:9">
      <c r="A6" s="74">
        <v>43798</v>
      </c>
      <c r="B6" s="75">
        <v>1.994</v>
      </c>
      <c r="C6" s="75">
        <v>1.998</v>
      </c>
      <c r="D6" s="75">
        <v>1.9990000000000001</v>
      </c>
      <c r="E6" s="75">
        <v>2.0350000000000001</v>
      </c>
      <c r="F6" s="75">
        <v>2.0190000000000001</v>
      </c>
      <c r="G6" s="73">
        <v>2.0089999999999999</v>
      </c>
    </row>
    <row r="7" spans="1:9">
      <c r="A7" s="74">
        <v>43799</v>
      </c>
      <c r="B7" s="75">
        <v>1.9970000000000001</v>
      </c>
      <c r="C7" s="75">
        <v>1.998</v>
      </c>
      <c r="D7" s="75">
        <v>2.0139999999999998</v>
      </c>
      <c r="E7" s="75">
        <v>2.0150000000000001</v>
      </c>
      <c r="F7" s="75">
        <v>2.0089999999999999</v>
      </c>
      <c r="G7" s="73">
        <v>2.0070000000000001</v>
      </c>
    </row>
    <row r="8" spans="1:9">
      <c r="A8" s="74">
        <v>43800</v>
      </c>
      <c r="B8" s="75">
        <v>2.0230000000000001</v>
      </c>
      <c r="C8" s="75">
        <v>2.0190000000000001</v>
      </c>
      <c r="D8" s="75">
        <v>2.02</v>
      </c>
      <c r="E8" s="75">
        <v>2.0249999999999999</v>
      </c>
      <c r="F8" s="75">
        <v>2.028</v>
      </c>
      <c r="G8" s="73">
        <v>2.0230000000000001</v>
      </c>
    </row>
    <row r="9" spans="1:9">
      <c r="A9" s="74">
        <v>43801</v>
      </c>
      <c r="B9" s="75">
        <v>2.0339999999999998</v>
      </c>
      <c r="C9" s="75">
        <v>2.0390000000000001</v>
      </c>
      <c r="D9" s="75">
        <v>2.0259999999999998</v>
      </c>
      <c r="E9" s="75">
        <v>2.0289999999999999</v>
      </c>
      <c r="F9" s="75">
        <v>2.0249999999999999</v>
      </c>
      <c r="G9" s="73">
        <v>2.0310000000000001</v>
      </c>
    </row>
    <row r="10" spans="1:9">
      <c r="A10" s="74">
        <v>43802</v>
      </c>
      <c r="B10" s="75">
        <v>2.056</v>
      </c>
      <c r="C10" s="75">
        <v>2.0449999999999999</v>
      </c>
      <c r="D10" s="75">
        <v>2.0339999999999998</v>
      </c>
      <c r="E10" s="75">
        <v>2.032</v>
      </c>
      <c r="F10" s="75">
        <v>2.0289999999999999</v>
      </c>
      <c r="G10" s="73">
        <v>2.0390000000000001</v>
      </c>
    </row>
    <row r="11" spans="1:9">
      <c r="A11" s="74">
        <v>43803</v>
      </c>
      <c r="B11" s="75">
        <v>2.024</v>
      </c>
      <c r="C11" s="75">
        <v>2.0230000000000001</v>
      </c>
      <c r="D11" s="75">
        <v>2.0070000000000001</v>
      </c>
      <c r="E11" s="75">
        <v>2.0150000000000001</v>
      </c>
      <c r="F11" s="75">
        <v>2.0110000000000001</v>
      </c>
      <c r="G11" s="73">
        <v>2.016</v>
      </c>
    </row>
    <row r="12" spans="1:9" ht="23.25">
      <c r="A12" s="76"/>
      <c r="B12" s="76"/>
      <c r="C12" s="76"/>
      <c r="D12" s="76"/>
      <c r="E12" s="77"/>
      <c r="F12" s="78" t="s">
        <v>189</v>
      </c>
      <c r="G12" s="78">
        <v>2.0179999999999998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>
      <selection activeCell="H5" sqref="H5"/>
    </sheetView>
  </sheetViews>
  <sheetFormatPr defaultRowHeight="15"/>
  <sheetData>
    <row r="1" spans="1:5">
      <c r="A1" s="75" t="s">
        <v>184</v>
      </c>
      <c r="B1" s="75" t="s">
        <v>185</v>
      </c>
      <c r="C1" s="75" t="s">
        <v>186</v>
      </c>
      <c r="D1" s="75" t="s">
        <v>187</v>
      </c>
      <c r="E1" s="75" t="s">
        <v>188</v>
      </c>
    </row>
    <row r="2" spans="1:5">
      <c r="A2" s="75">
        <v>2.0009999999999999</v>
      </c>
      <c r="B2" s="75">
        <v>1.99</v>
      </c>
      <c r="C2" s="75">
        <v>1.9910000000000001</v>
      </c>
      <c r="D2" s="75">
        <v>2.004</v>
      </c>
      <c r="E2" s="75">
        <v>1.9950000000000001</v>
      </c>
    </row>
    <row r="3" spans="1:5">
      <c r="A3" s="75">
        <v>1.994</v>
      </c>
      <c r="B3" s="75">
        <v>1.998</v>
      </c>
      <c r="C3" s="75">
        <v>2.0009999999999999</v>
      </c>
      <c r="D3" s="75">
        <v>1.9950000000000001</v>
      </c>
      <c r="E3" s="75">
        <v>2.0030000000000001</v>
      </c>
    </row>
    <row r="4" spans="1:5">
      <c r="A4" s="75">
        <v>1.9950000000000001</v>
      </c>
      <c r="B4" s="75">
        <v>1.9910000000000001</v>
      </c>
      <c r="C4" s="75">
        <v>1.9970000000000001</v>
      </c>
      <c r="D4" s="75">
        <v>2.0030000000000001</v>
      </c>
      <c r="E4" s="75">
        <v>2.008</v>
      </c>
    </row>
    <row r="5" spans="1:5">
      <c r="A5" s="75">
        <v>2.0070000000000001</v>
      </c>
      <c r="B5" s="75">
        <v>2.0089999999999999</v>
      </c>
      <c r="C5" s="75">
        <v>1.9930000000000001</v>
      </c>
      <c r="D5" s="75">
        <v>2.0009999999999999</v>
      </c>
      <c r="E5" s="75">
        <v>1.9930000000000001</v>
      </c>
    </row>
    <row r="6" spans="1:5">
      <c r="A6" s="75">
        <v>1.988</v>
      </c>
      <c r="B6" s="75">
        <v>2.0030000000000001</v>
      </c>
      <c r="C6" s="75">
        <v>1.9970000000000001</v>
      </c>
      <c r="D6" s="75">
        <v>1.9990000000000001</v>
      </c>
      <c r="E6" s="75">
        <v>2.004</v>
      </c>
    </row>
    <row r="7" spans="1:5">
      <c r="A7" s="75">
        <v>2.0019999999999998</v>
      </c>
      <c r="B7" s="75">
        <v>1.998</v>
      </c>
      <c r="C7" s="75">
        <v>2</v>
      </c>
      <c r="D7" s="75">
        <v>1.9970000000000001</v>
      </c>
      <c r="E7" s="75">
        <v>1.992</v>
      </c>
    </row>
    <row r="8" spans="1:5">
      <c r="A8" s="75">
        <v>2.0030000000000001</v>
      </c>
      <c r="B8" s="75">
        <v>1.9910000000000001</v>
      </c>
      <c r="C8" s="75">
        <v>2.004</v>
      </c>
      <c r="D8" s="75">
        <v>1.9970000000000001</v>
      </c>
      <c r="E8" s="75">
        <v>1.998</v>
      </c>
    </row>
    <row r="9" spans="1:5">
      <c r="A9" s="75">
        <v>1.996</v>
      </c>
      <c r="B9" s="75">
        <v>2.0030000000000001</v>
      </c>
      <c r="C9" s="75">
        <v>1.998</v>
      </c>
      <c r="D9" s="75">
        <v>2.0009999999999999</v>
      </c>
      <c r="E9" s="75">
        <v>1.9970000000000001</v>
      </c>
    </row>
    <row r="10" spans="1:5">
      <c r="A10" s="75">
        <v>2.0019999999999998</v>
      </c>
      <c r="B10" s="75">
        <v>1.998</v>
      </c>
      <c r="C10" s="75">
        <v>2.0009999999999999</v>
      </c>
      <c r="D10" s="75">
        <v>2.004</v>
      </c>
      <c r="E10" s="75">
        <v>2.0030000000000001</v>
      </c>
    </row>
    <row r="11" spans="1:5">
      <c r="A11" s="75">
        <v>2.0030000000000001</v>
      </c>
      <c r="B11" s="75">
        <v>1.9950000000000001</v>
      </c>
      <c r="C11" s="75">
        <v>2.0009999999999999</v>
      </c>
      <c r="D11" s="75">
        <v>1.9990000000000001</v>
      </c>
      <c r="E11" s="75">
        <v>2.0009999999999999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하범용/부장/VC품질기획파트(bumyong.ha@lge.com)</dc:creator>
  <cp:keywords/>
  <dc:description/>
  <cp:lastModifiedBy/>
  <cp:revision/>
  <dcterms:created xsi:type="dcterms:W3CDTF">2017-02-09T22:55:49Z</dcterms:created>
  <dcterms:modified xsi:type="dcterms:W3CDTF">2026-03-24T01:12:15Z</dcterms:modified>
  <cp:category/>
  <cp:contentStatus/>
</cp:coreProperties>
</file>