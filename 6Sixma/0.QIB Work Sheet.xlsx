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filterPrivacy="1" defaultThemeVersion="124226"/>
  <xr:revisionPtr revIDLastSave="0" documentId="8_{6410CF36-7FCC-45D1-A67E-96C0FAB08282}" xr6:coauthVersionLast="47" xr6:coauthVersionMax="47" xr10:uidLastSave="{00000000-0000-0000-0000-000000000000}"/>
  <bookViews>
    <workbookView xWindow="-110" yWindow="-110" windowWidth="25820" windowHeight="15500" tabRatio="879" firstSheet="5" activeTab="5" xr2:uid="{00000000-000D-0000-FFFF-FFFF00000000}"/>
  </bookViews>
  <sheets>
    <sheet name="Data" sheetId="4" r:id="rId1"/>
    <sheet name="Vẽ normal distribution" sheetId="28" r:id="rId2"/>
    <sheet name="Pareto" sheetId="1" r:id="rId3"/>
    <sheet name="Histogram" sheetId="2" r:id="rId4"/>
    <sheet name="Scatter" sheetId="3" r:id="rId5"/>
    <sheet name="1 Sample t-Test" sheetId="9" r:id="rId6"/>
    <sheet name="2 Sample t-Test" sheetId="10" r:id="rId7"/>
    <sheet name="ANOVA" sheetId="11" r:id="rId8"/>
    <sheet name="Sheet4" sheetId="27" r:id="rId9"/>
    <sheet name="Chi-sq-Test" sheetId="26" r:id="rId10"/>
    <sheet name="Tính Process Var" sheetId="29" r:id="rId11"/>
    <sheet name="Gage R&amp;R cross" sheetId="13" r:id="rId12"/>
    <sheet name="Type I" sheetId="22" r:id="rId13"/>
    <sheet name="Resistance" sheetId="12" r:id="rId14"/>
    <sheet name="Q1" sheetId="5" r:id="rId15"/>
    <sheet name="Q2" sheetId="6" r:id="rId16"/>
    <sheet name="Q3" sheetId="7" r:id="rId17"/>
    <sheet name="đánh giá năng lực quá trình" sheetId="8" r:id="rId18"/>
    <sheet name="Control" sheetId="14" r:id="rId19"/>
    <sheet name="Control index" sheetId="15" r:id="rId20"/>
    <sheet name="Xbar-R 1" sheetId="16" r:id="rId21"/>
    <sheet name="Xbar-R 2" sheetId="17" r:id="rId22"/>
    <sheet name="I-MR" sheetId="18" r:id="rId23"/>
    <sheet name="P" sheetId="19" r:id="rId24"/>
    <sheet name="C" sheetId="23" r:id="rId25"/>
    <sheet name="test data" sheetId="20" r:id="rId26"/>
    <sheet name="Sheet2" sheetId="21" r:id="rId27"/>
    <sheet name="Sheet1" sheetId="24" r:id="rId28"/>
    <sheet name="Sheet3" sheetId="25" r:id="rId29"/>
  </sheets>
  <definedNames>
    <definedName name="_xlnm._FilterDatabase" localSheetId="24" hidden="1">'C'!$A$1:$C$25</definedName>
    <definedName name="_xlnm._FilterDatabase" localSheetId="4" hidden="1">Scatter!$E$1:$F$1</definedName>
    <definedName name="_xlnm._FilterDatabase" localSheetId="1" hidden="1">'Vẽ normal distribution'!$B$2:$B$13</definedName>
    <definedName name="_xlchart.v1.0" hidden="1">'Vẽ normal distribution'!$B$3:$B$13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1" i="4" l="1"/>
  <c r="H9" i="29" l="1"/>
  <c r="H11" i="29" l="1"/>
  <c r="D14" i="29"/>
  <c r="D15" i="29" s="1"/>
  <c r="C14" i="29"/>
  <c r="C15" i="29" s="1"/>
  <c r="H12" i="29" l="1"/>
  <c r="J13" i="13"/>
  <c r="J8" i="13"/>
  <c r="K8" i="13" s="1"/>
  <c r="I8" i="13"/>
  <c r="J10" i="13" s="1"/>
  <c r="J14" i="13" l="1"/>
  <c r="J11" i="13"/>
  <c r="AH18" i="4"/>
  <c r="E7" i="29" l="1"/>
  <c r="E8" i="29" s="1"/>
  <c r="E6" i="29"/>
  <c r="F17" i="28" l="1"/>
  <c r="F15" i="28"/>
  <c r="D18" i="28"/>
  <c r="E7" i="28" s="1"/>
  <c r="F7" i="28" s="1"/>
  <c r="E3" i="28" l="1"/>
  <c r="F3" i="28" s="1"/>
  <c r="E10" i="28"/>
  <c r="F10" i="28" s="1"/>
  <c r="E6" i="28"/>
  <c r="F6" i="28" s="1"/>
  <c r="E13" i="28"/>
  <c r="F13" i="28" s="1"/>
  <c r="E9" i="28"/>
  <c r="F9" i="28" s="1"/>
  <c r="E5" i="28"/>
  <c r="F5" i="28" s="1"/>
  <c r="E12" i="28"/>
  <c r="F12" i="28" s="1"/>
  <c r="E8" i="28"/>
  <c r="F8" i="28" s="1"/>
  <c r="E4" i="28"/>
  <c r="F4" i="28" s="1"/>
  <c r="E11" i="28"/>
  <c r="F11" i="28" s="1"/>
  <c r="L28" i="11"/>
  <c r="O25" i="11"/>
  <c r="O26" i="11" s="1"/>
  <c r="M25" i="11"/>
  <c r="M26" i="11" s="1"/>
  <c r="N25" i="11"/>
  <c r="N26" i="11" s="1"/>
  <c r="L25" i="11"/>
  <c r="L26" i="11" s="1"/>
  <c r="L27" i="11" l="1"/>
  <c r="N27" i="11" s="1"/>
  <c r="F14" i="28"/>
  <c r="D16" i="28" s="1"/>
  <c r="D17" i="28" s="1"/>
  <c r="L29" i="11"/>
  <c r="AQ15" i="4"/>
  <c r="AH19" i="4"/>
  <c r="C8" i="28" l="1"/>
  <c r="C11" i="28"/>
  <c r="C7" i="28"/>
  <c r="C4" i="28"/>
  <c r="C9" i="28"/>
  <c r="C6" i="28"/>
  <c r="C10" i="28"/>
  <c r="C5" i="28"/>
  <c r="C12" i="28"/>
  <c r="C3" i="28"/>
  <c r="C13" i="28"/>
  <c r="K3" i="8"/>
  <c r="K4" i="8"/>
  <c r="K2" i="8"/>
  <c r="E9" i="27" l="1"/>
  <c r="E10" i="27" s="1"/>
  <c r="F9" i="27"/>
  <c r="F10" i="27" s="1"/>
  <c r="D9" i="27"/>
  <c r="D10" i="27" s="1"/>
  <c r="F8" i="27"/>
  <c r="E8" i="27"/>
  <c r="D8" i="27"/>
  <c r="I3" i="27"/>
  <c r="C11" i="27" l="1"/>
  <c r="C12" i="27" s="1"/>
  <c r="AQ14" i="4"/>
  <c r="AH17" i="4"/>
  <c r="AH20" i="4" s="1"/>
  <c r="AR8" i="4"/>
  <c r="AH21" i="4" l="1"/>
  <c r="E2" i="9"/>
  <c r="H3" i="9" l="1"/>
  <c r="E4" i="9"/>
  <c r="H7" i="5" l="1"/>
  <c r="G6" i="5"/>
  <c r="G5" i="5"/>
  <c r="E20" i="26" l="1"/>
  <c r="E21" i="26"/>
  <c r="E19" i="26"/>
  <c r="E3" i="9" l="1"/>
  <c r="H2" i="9" s="1"/>
  <c r="C26" i="23" l="1"/>
  <c r="H3" i="23" s="1"/>
  <c r="J32" i="14" l="1"/>
  <c r="I32" i="14"/>
  <c r="K32" i="14" s="1"/>
  <c r="H32" i="14"/>
  <c r="J31" i="14"/>
  <c r="I31" i="14"/>
  <c r="H31" i="14"/>
  <c r="J30" i="14"/>
  <c r="I30" i="14"/>
  <c r="H30" i="14"/>
  <c r="J29" i="14"/>
  <c r="I29" i="14"/>
  <c r="K29" i="14" s="1"/>
  <c r="H29" i="14"/>
  <c r="J28" i="14"/>
  <c r="I28" i="14"/>
  <c r="H28" i="14"/>
  <c r="J27" i="14"/>
  <c r="I27" i="14"/>
  <c r="H27" i="14"/>
  <c r="J26" i="14"/>
  <c r="I26" i="14"/>
  <c r="H26" i="14"/>
  <c r="J25" i="14"/>
  <c r="I25" i="14"/>
  <c r="H25" i="14"/>
  <c r="J24" i="14"/>
  <c r="I24" i="14"/>
  <c r="K24" i="14" s="1"/>
  <c r="H24" i="14"/>
  <c r="J23" i="14"/>
  <c r="I23" i="14"/>
  <c r="H23" i="14"/>
  <c r="J22" i="14"/>
  <c r="I22" i="14"/>
  <c r="H22" i="14"/>
  <c r="J21" i="14"/>
  <c r="I21" i="14"/>
  <c r="K21" i="14" s="1"/>
  <c r="H21" i="14"/>
  <c r="J20" i="14"/>
  <c r="I20" i="14"/>
  <c r="H20" i="14"/>
  <c r="J19" i="14"/>
  <c r="I19" i="14"/>
  <c r="K19" i="14" s="1"/>
  <c r="H19" i="14"/>
  <c r="J18" i="14"/>
  <c r="I18" i="14"/>
  <c r="H18" i="14"/>
  <c r="J17" i="14"/>
  <c r="I17" i="14"/>
  <c r="K17" i="14" s="1"/>
  <c r="H17" i="14"/>
  <c r="J16" i="14"/>
  <c r="I16" i="14"/>
  <c r="K16" i="14" s="1"/>
  <c r="H16" i="14"/>
  <c r="J15" i="14"/>
  <c r="I15" i="14"/>
  <c r="H15" i="14"/>
  <c r="J14" i="14"/>
  <c r="I14" i="14"/>
  <c r="H14" i="14"/>
  <c r="J13" i="14"/>
  <c r="I13" i="14"/>
  <c r="K13" i="14" s="1"/>
  <c r="H13" i="14"/>
  <c r="J12" i="14"/>
  <c r="I12" i="14"/>
  <c r="H12" i="14"/>
  <c r="J11" i="14"/>
  <c r="I11" i="14"/>
  <c r="K11" i="14" s="1"/>
  <c r="H11" i="14"/>
  <c r="J10" i="14"/>
  <c r="I10" i="14"/>
  <c r="H10" i="14"/>
  <c r="J9" i="14"/>
  <c r="I9" i="14"/>
  <c r="K9" i="14" s="1"/>
  <c r="H9" i="14"/>
  <c r="J8" i="14"/>
  <c r="I8" i="14"/>
  <c r="K8" i="14" s="1"/>
  <c r="H8" i="14"/>
  <c r="J7" i="14"/>
  <c r="I7" i="14"/>
  <c r="H7" i="14"/>
  <c r="J6" i="14"/>
  <c r="I6" i="14"/>
  <c r="H6" i="14"/>
  <c r="J5" i="14"/>
  <c r="I5" i="14"/>
  <c r="K5" i="14" s="1"/>
  <c r="H5" i="14"/>
  <c r="J4" i="14"/>
  <c r="I4" i="14"/>
  <c r="H4" i="14"/>
  <c r="J3" i="14"/>
  <c r="I3" i="14"/>
  <c r="K3" i="14" s="1"/>
  <c r="H3" i="14"/>
  <c r="K25" i="14" l="1"/>
  <c r="K18" i="14"/>
  <c r="K26" i="14"/>
  <c r="K10" i="14"/>
  <c r="K27" i="14"/>
  <c r="K7" i="14"/>
  <c r="K12" i="14"/>
  <c r="K14" i="14"/>
  <c r="K23" i="14"/>
  <c r="K28" i="14"/>
  <c r="K30" i="14"/>
  <c r="H33" i="14"/>
  <c r="K4" i="14"/>
  <c r="K6" i="14"/>
  <c r="K15" i="14"/>
  <c r="K33" i="14" s="1"/>
  <c r="K20" i="14"/>
  <c r="K22" i="14"/>
  <c r="K31" i="14"/>
  <c r="N22" i="14" l="1"/>
  <c r="N6" i="14"/>
  <c r="N27" i="14"/>
  <c r="N11" i="14"/>
  <c r="N32" i="14"/>
  <c r="N17" i="14"/>
  <c r="N20" i="14"/>
  <c r="N18" i="14"/>
  <c r="N24" i="14"/>
  <c r="N23" i="14"/>
  <c r="N7" i="14"/>
  <c r="N29" i="14"/>
  <c r="N13" i="14"/>
  <c r="N16" i="14"/>
  <c r="N26" i="14"/>
  <c r="N10" i="14"/>
  <c r="N31" i="14"/>
  <c r="N15" i="14"/>
  <c r="N28" i="14"/>
  <c r="N21" i="14"/>
  <c r="N5" i="14"/>
  <c r="M25" i="14"/>
  <c r="M9" i="14"/>
  <c r="L6" i="14"/>
  <c r="L17" i="14"/>
  <c r="L30" i="14"/>
  <c r="M32" i="14"/>
  <c r="M16" i="14"/>
  <c r="M8" i="14"/>
  <c r="N30" i="14"/>
  <c r="N14" i="14"/>
  <c r="N4" i="14"/>
  <c r="N19" i="14"/>
  <c r="N3" i="14"/>
  <c r="N25" i="14"/>
  <c r="N9" i="14"/>
  <c r="N12" i="14"/>
  <c r="N8" i="14"/>
  <c r="M17" i="14"/>
  <c r="L18" i="14"/>
  <c r="L25" i="14"/>
  <c r="L9" i="14"/>
  <c r="L22" i="14"/>
  <c r="M24" i="14"/>
  <c r="L8" i="14"/>
  <c r="L3" i="14"/>
  <c r="L11" i="14"/>
  <c r="L19" i="14"/>
  <c r="L27" i="14"/>
  <c r="M3" i="14"/>
  <c r="M23" i="14"/>
  <c r="M31" i="14"/>
  <c r="M10" i="14"/>
  <c r="M18" i="14"/>
  <c r="M26" i="14"/>
  <c r="M7" i="14"/>
  <c r="M19" i="14"/>
  <c r="L12" i="14"/>
  <c r="L20" i="14"/>
  <c r="L28" i="14"/>
  <c r="M4" i="14"/>
  <c r="M12" i="14"/>
  <c r="M20" i="14"/>
  <c r="M28" i="14"/>
  <c r="L10" i="14"/>
  <c r="L26" i="14"/>
  <c r="L5" i="14"/>
  <c r="L13" i="14"/>
  <c r="L21" i="14"/>
  <c r="L29" i="14"/>
  <c r="L14" i="14"/>
  <c r="L4" i="14"/>
  <c r="M13" i="14"/>
  <c r="M21" i="14"/>
  <c r="M29" i="14"/>
  <c r="L7" i="14"/>
  <c r="L15" i="14"/>
  <c r="L23" i="14"/>
  <c r="L31" i="14"/>
  <c r="M11" i="14"/>
  <c r="M27" i="14"/>
  <c r="M6" i="14"/>
  <c r="M14" i="14"/>
  <c r="M22" i="14"/>
  <c r="M30" i="14"/>
  <c r="M15" i="14"/>
  <c r="M5" i="14"/>
  <c r="L16" i="14"/>
  <c r="L24" i="14"/>
  <c r="L32" i="14"/>
  <c r="V2" i="4"/>
  <c r="X2" i="4" s="1"/>
  <c r="V3" i="4"/>
  <c r="X3" i="4" s="1"/>
  <c r="V4" i="4"/>
  <c r="X4" i="4" s="1"/>
  <c r="V5" i="4"/>
  <c r="X5" i="4" s="1"/>
  <c r="V6" i="4"/>
  <c r="X6" i="4" s="1"/>
  <c r="V7" i="4"/>
  <c r="X7" i="4" s="1"/>
  <c r="V8" i="4"/>
  <c r="X8" i="4" s="1"/>
  <c r="V9" i="4"/>
  <c r="X9" i="4" s="1"/>
  <c r="V10" i="4"/>
  <c r="X10" i="4" s="1"/>
  <c r="V11" i="4"/>
  <c r="X11" i="4" s="1"/>
  <c r="V12" i="4"/>
  <c r="X12" i="4" s="1"/>
  <c r="V13" i="4"/>
  <c r="X13" i="4" s="1"/>
  <c r="V14" i="4"/>
  <c r="X14" i="4" s="1"/>
  <c r="V15" i="4"/>
  <c r="X15" i="4" s="1"/>
  <c r="V16" i="4"/>
  <c r="X16" i="4" s="1"/>
  <c r="V17" i="4"/>
  <c r="X17" i="4" s="1"/>
  <c r="V18" i="4"/>
  <c r="X18" i="4" s="1"/>
  <c r="V19" i="4"/>
  <c r="X19" i="4" s="1"/>
  <c r="V20" i="4"/>
  <c r="X20" i="4" s="1"/>
  <c r="V1" i="4"/>
  <c r="X1" i="4" s="1"/>
  <c r="X21" i="4" s="1"/>
  <c r="X22" i="4" s="1"/>
  <c r="X23" i="4" s="1"/>
  <c r="M2" i="4" l="1"/>
  <c r="M1" i="4"/>
  <c r="D2" i="4"/>
  <c r="I2" i="4" s="1"/>
  <c r="J2" i="4" s="1"/>
  <c r="M3" i="4" l="1"/>
  <c r="I17" i="4"/>
  <c r="J17" i="4" s="1"/>
  <c r="I12" i="4"/>
  <c r="J12" i="4" s="1"/>
  <c r="I1" i="4"/>
  <c r="J1" i="4" s="1"/>
  <c r="I16" i="4"/>
  <c r="J16" i="4" s="1"/>
  <c r="I11" i="4"/>
  <c r="J11" i="4" s="1"/>
  <c r="I5" i="4"/>
  <c r="J5" i="4" s="1"/>
  <c r="I20" i="4"/>
  <c r="J20" i="4" s="1"/>
  <c r="I15" i="4"/>
  <c r="J15" i="4" s="1"/>
  <c r="I9" i="4"/>
  <c r="J9" i="4" s="1"/>
  <c r="I4" i="4"/>
  <c r="J4" i="4" s="1"/>
  <c r="I19" i="4"/>
  <c r="J19" i="4" s="1"/>
  <c r="I13" i="4"/>
  <c r="J13" i="4" s="1"/>
  <c r="I8" i="4"/>
  <c r="J8" i="4" s="1"/>
  <c r="I3" i="4"/>
  <c r="J3" i="4" s="1"/>
  <c r="I7" i="4"/>
  <c r="J7" i="4" s="1"/>
  <c r="I18" i="4"/>
  <c r="J18" i="4" s="1"/>
  <c r="I14" i="4"/>
  <c r="J14" i="4" s="1"/>
  <c r="I10" i="4"/>
  <c r="J10" i="4" s="1"/>
  <c r="I6" i="4"/>
  <c r="J6" i="4" s="1"/>
  <c r="E2" i="2"/>
  <c r="E3" i="2" s="1"/>
  <c r="E4" i="2" s="1"/>
  <c r="J21" i="4" l="1"/>
  <c r="J22" i="4" s="1"/>
  <c r="J23" i="4" s="1"/>
  <c r="E5" i="2"/>
</calcChain>
</file>

<file path=xl/sharedStrings.xml><?xml version="1.0" encoding="utf-8"?>
<sst xmlns="http://schemas.openxmlformats.org/spreadsheetml/2006/main" count="1460" uniqueCount="388">
  <si>
    <t>Data</t>
  </si>
  <si>
    <t>Team</t>
  </si>
  <si>
    <t xml:space="preserve">Xmax = </t>
  </si>
  <si>
    <t>A</t>
  </si>
  <si>
    <t>Xbar =</t>
  </si>
  <si>
    <t>n =</t>
  </si>
  <si>
    <t xml:space="preserve">Xmin = </t>
  </si>
  <si>
    <t>Bài tập:</t>
  </si>
  <si>
    <t>B</t>
  </si>
  <si>
    <t xml:space="preserve">R = </t>
  </si>
  <si>
    <t>Xbar=</t>
  </si>
  <si>
    <t>chiều cao lớp học:</t>
  </si>
  <si>
    <t>cm</t>
  </si>
  <si>
    <t>Trimmed=</t>
  </si>
  <si>
    <t>s=</t>
  </si>
  <si>
    <t>Median=</t>
  </si>
  <si>
    <t>Tính xác suất để lấy đc 1 bạn với chiều cao trên 1m8?</t>
  </si>
  <si>
    <r>
      <t>Z</t>
    </r>
    <r>
      <rPr>
        <vertAlign val="subscript"/>
        <sz val="11"/>
        <color theme="1"/>
        <rFont val="Segoe UI"/>
        <family val="2"/>
      </rPr>
      <t>180</t>
    </r>
    <r>
      <rPr>
        <sz val="11"/>
        <color theme="1"/>
        <rFont val="Segoe UI"/>
        <family val="2"/>
      </rPr>
      <t>=2.89</t>
    </r>
  </si>
  <si>
    <t>P=0.0019</t>
  </si>
  <si>
    <t>Mode=</t>
  </si>
  <si>
    <t>Tính xác suất để lấy đc 1 bạn với chiều cao dưới 1m60?</t>
  </si>
  <si>
    <r>
      <t>Z</t>
    </r>
    <r>
      <rPr>
        <vertAlign val="subscript"/>
        <sz val="11"/>
        <color theme="1"/>
        <rFont val="Segoe UI"/>
        <family val="2"/>
      </rPr>
      <t>160</t>
    </r>
    <r>
      <rPr>
        <sz val="11"/>
        <color theme="1"/>
        <rFont val="Segoe UI"/>
        <family val="2"/>
      </rPr>
      <t>=2.368</t>
    </r>
  </si>
  <si>
    <t>P=0.0091</t>
  </si>
  <si>
    <t>Tính xác suất để lấy đc 1 bạn với chiều cao từ 1m5~1m7</t>
  </si>
  <si>
    <r>
      <t>Z</t>
    </r>
    <r>
      <rPr>
        <vertAlign val="subscript"/>
        <sz val="11"/>
        <color theme="1"/>
        <rFont val="Segoe UI"/>
        <family val="2"/>
      </rPr>
      <t>150</t>
    </r>
    <r>
      <rPr>
        <sz val="11"/>
        <color theme="1"/>
        <rFont val="Segoe UI"/>
        <family val="2"/>
      </rPr>
      <t>=-5</t>
    </r>
  </si>
  <si>
    <r>
      <t>Z</t>
    </r>
    <r>
      <rPr>
        <vertAlign val="subscript"/>
        <sz val="11"/>
        <color theme="1"/>
        <rFont val="Segoe UI"/>
        <family val="2"/>
      </rPr>
      <t>170</t>
    </r>
    <r>
      <rPr>
        <sz val="11"/>
        <color theme="1"/>
        <rFont val="Segoe UI"/>
        <family val="2"/>
      </rPr>
      <t>=0.263</t>
    </r>
  </si>
  <si>
    <t>P=0.3974</t>
  </si>
  <si>
    <t>Range=</t>
  </si>
  <si>
    <t>Tỉ lệ lỗi của quá trình này đang ở mức 0.5%. Hãy tính sigma level của quy trình?</t>
  </si>
  <si>
    <t>Z+1.5=sigma level</t>
  </si>
  <si>
    <t>n=</t>
  </si>
  <si>
    <t>n-1=</t>
  </si>
  <si>
    <t>Lấy 5 mẫu từ 1 dây chuyền sản xuất Đinh tán và đo chiều dài của các mẫu thu được bảng dữ liệu sau:</t>
  </si>
  <si>
    <t>X1</t>
  </si>
  <si>
    <t>Spec: 5+/- 0.1</t>
  </si>
  <si>
    <t>X2</t>
  </si>
  <si>
    <t>Tính xác suất để lấy phải 1 đinh NG LSL</t>
  </si>
  <si>
    <r>
      <t>P</t>
    </r>
    <r>
      <rPr>
        <vertAlign val="subscript"/>
        <sz val="11"/>
        <color theme="1"/>
        <rFont val="Segoe UI"/>
        <family val="2"/>
      </rPr>
      <t>LSL</t>
    </r>
    <r>
      <rPr>
        <sz val="11"/>
        <color theme="1"/>
        <rFont val="Segoe UI"/>
        <family val="2"/>
      </rPr>
      <t>=</t>
    </r>
  </si>
  <si>
    <t>X3</t>
  </si>
  <si>
    <t>Tính xác suất để lấy phải 1 đinh NG</t>
  </si>
  <si>
    <r>
      <t>P</t>
    </r>
    <r>
      <rPr>
        <vertAlign val="subscript"/>
        <sz val="11"/>
        <color theme="1"/>
        <rFont val="Segoe UI"/>
        <family val="2"/>
      </rPr>
      <t>LSL</t>
    </r>
    <r>
      <rPr>
        <sz val="11"/>
        <color theme="1"/>
        <rFont val="Segoe UI"/>
        <family val="2"/>
      </rPr>
      <t>+P</t>
    </r>
    <r>
      <rPr>
        <vertAlign val="subscript"/>
        <sz val="11"/>
        <color theme="1"/>
        <rFont val="Segoe UI"/>
        <family val="2"/>
      </rPr>
      <t>USL</t>
    </r>
    <r>
      <rPr>
        <sz val="11"/>
        <color theme="1"/>
        <rFont val="Segoe UI"/>
        <family val="2"/>
      </rPr>
      <t>=</t>
    </r>
  </si>
  <si>
    <t>X4</t>
  </si>
  <si>
    <t>Nếu sản xuất 5000 sp, có bao nhiêu sản phẩm NG USL?</t>
  </si>
  <si>
    <r>
      <t>N</t>
    </r>
    <r>
      <rPr>
        <vertAlign val="subscript"/>
        <sz val="11"/>
        <color theme="1"/>
        <rFont val="Segoe UI"/>
        <family val="2"/>
      </rPr>
      <t>NG USL</t>
    </r>
    <r>
      <rPr>
        <sz val="11"/>
        <color theme="1"/>
        <rFont val="Segoe UI"/>
        <family val="2"/>
      </rPr>
      <t>=</t>
    </r>
  </si>
  <si>
    <t>X5</t>
  </si>
  <si>
    <t>Hãy thiết lập spec để tỉ lệ lỗi tổng cộng là 0.5% (Mỗi cận 0.25%)</t>
  </si>
  <si>
    <t>LSL=4.759    USL=5.209</t>
  </si>
  <si>
    <t>Xbar</t>
  </si>
  <si>
    <t>Hãy thiết lập Control limit theo +/-3s. UCL, LCL =?</t>
  </si>
  <si>
    <t>LCL=4.743 UCL=5.225</t>
  </si>
  <si>
    <t>S</t>
  </si>
  <si>
    <t>Hãy tính toán Sigma quy trình trong trường hợp tỉ lệ lỗi target là 0.3%</t>
  </si>
  <si>
    <t>3S=</t>
  </si>
  <si>
    <t>UCL=Xbar+3S</t>
  </si>
  <si>
    <t xml:space="preserve">Tổng = </t>
  </si>
  <si>
    <t>Sum</t>
  </si>
  <si>
    <t>LCL=Xbar-3S</t>
  </si>
  <si>
    <t>s2</t>
  </si>
  <si>
    <t>s</t>
  </si>
  <si>
    <t>Chiều cao lớp học</t>
  </si>
  <si>
    <t>Distribution</t>
  </si>
  <si>
    <t>Khoảng cách</t>
  </si>
  <si>
    <t>Bình phương k/cách</t>
  </si>
  <si>
    <t>Tổng bình phương</t>
  </si>
  <si>
    <t>Variance</t>
  </si>
  <si>
    <r>
      <t>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</t>
    </r>
  </si>
  <si>
    <t>Standard deviation</t>
  </si>
  <si>
    <t>S=</t>
  </si>
  <si>
    <t>Mean</t>
  </si>
  <si>
    <t>Defect name</t>
  </si>
  <si>
    <t>Time</t>
  </si>
  <si>
    <t>Symptoms of radio defects</t>
  </si>
  <si>
    <t>Count</t>
  </si>
  <si>
    <t>Sọc màn hình</t>
  </si>
  <si>
    <t>Call reception/transmission is poor or malfunctioning</t>
  </si>
  <si>
    <t>Dị vật</t>
  </si>
  <si>
    <t>Received/sent calls are dropped</t>
  </si>
  <si>
    <t>Mura</t>
  </si>
  <si>
    <t>No SVC</t>
  </si>
  <si>
    <t>Không hiển thị</t>
  </si>
  <si>
    <t>Loạn màu</t>
  </si>
  <si>
    <t>Network is not displayed</t>
  </si>
  <si>
    <t>Nhấp nháy</t>
  </si>
  <si>
    <t>No Service</t>
  </si>
  <si>
    <t>Không nguồn</t>
  </si>
  <si>
    <t>Low Signal bar</t>
  </si>
  <si>
    <t>Hiển thị bất thường</t>
  </si>
  <si>
    <t>Delayed Roaming</t>
  </si>
  <si>
    <t>Hiển thị nửa màn</t>
  </si>
  <si>
    <t>Inquiries on use</t>
  </si>
  <si>
    <t>Khác</t>
  </si>
  <si>
    <t>Weight of Products</t>
  </si>
  <si>
    <t>h</t>
  </si>
  <si>
    <t xml:space="preserve">BĐD1 </t>
  </si>
  <si>
    <t xml:space="preserve">BĐT1 </t>
  </si>
  <si>
    <t>trung diem</t>
  </si>
  <si>
    <t>age</t>
  </si>
  <si>
    <t>income</t>
  </si>
  <si>
    <t>Weight</t>
  </si>
  <si>
    <t>Thickeness</t>
  </si>
  <si>
    <t>Line</t>
  </si>
  <si>
    <t>Chiều cao</t>
  </si>
  <si>
    <t>Cân nặng</t>
  </si>
  <si>
    <t>No</t>
  </si>
  <si>
    <t>Weight of product A</t>
  </si>
  <si>
    <t>t=(X-Xbar)/(s/SQRT(N))</t>
  </si>
  <si>
    <t>STDEV=</t>
  </si>
  <si>
    <t>t(df,a/2)=t(14,0.025)=</t>
  </si>
  <si>
    <t>sqrtN=</t>
  </si>
  <si>
    <t>Good</t>
  </si>
  <si>
    <t>Defective</t>
  </si>
  <si>
    <t>ID</t>
  </si>
  <si>
    <t>Giá trị điện trở</t>
  </si>
  <si>
    <t>Part No</t>
  </si>
  <si>
    <t>220V</t>
  </si>
  <si>
    <t>240V</t>
  </si>
  <si>
    <t>C</t>
  </si>
  <si>
    <t>Course</t>
  </si>
  <si>
    <t>Unit</t>
  </si>
  <si>
    <t>Beginner</t>
  </si>
  <si>
    <t>min</t>
  </si>
  <si>
    <t>1. Kiểm tra phân phối chuẩn</t>
  </si>
  <si>
    <t>2. Kiểm tra equal variances</t>
  </si>
  <si>
    <t>3. Anova - One way</t>
  </si>
  <si>
    <t>Ngày 1</t>
  </si>
  <si>
    <t>Ngày 2</t>
  </si>
  <si>
    <t>Ngày 3</t>
  </si>
  <si>
    <t>Total</t>
  </si>
  <si>
    <t>Intermediate</t>
  </si>
  <si>
    <t>Advance</t>
  </si>
  <si>
    <r>
      <t>s</t>
    </r>
    <r>
      <rPr>
        <vertAlign val="subscript"/>
        <sz val="11"/>
        <color theme="1"/>
        <rFont val="Calibri"/>
        <family val="2"/>
        <scheme val="minor"/>
      </rPr>
      <t>total</t>
    </r>
  </si>
  <si>
    <r>
      <t>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</si>
  <si>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scheme val="minor"/>
      </rPr>
      <t>within</t>
    </r>
  </si>
  <si>
    <r>
      <t>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vertAlign val="subscript"/>
        <sz val="11"/>
        <color theme="1"/>
        <rFont val="Calibri"/>
        <family val="2"/>
        <scheme val="minor"/>
      </rPr>
      <t>within</t>
    </r>
  </si>
  <si>
    <r>
      <t>S</t>
    </r>
    <r>
      <rPr>
        <vertAlign val="subscript"/>
        <sz val="11"/>
        <color theme="1"/>
        <rFont val="Calibri"/>
        <family val="2"/>
        <scheme val="minor"/>
      </rPr>
      <t>between</t>
    </r>
  </si>
  <si>
    <t>Sub1</t>
  </si>
  <si>
    <t>Sub2</t>
  </si>
  <si>
    <t>Sub3</t>
  </si>
  <si>
    <t>Sigma total=</t>
  </si>
  <si>
    <t>Phương sai</t>
  </si>
  <si>
    <r>
      <t>s</t>
    </r>
    <r>
      <rPr>
        <vertAlign val="superscript"/>
        <sz val="11"/>
        <color theme="1"/>
        <rFont val="Calibri"/>
        <family val="2"/>
        <scheme val="minor"/>
      </rPr>
      <t>2</t>
    </r>
  </si>
  <si>
    <t>TB phương sai</t>
  </si>
  <si>
    <t>Căn hai</t>
  </si>
  <si>
    <t>sigma within</t>
  </si>
  <si>
    <t>Trước khi học</t>
  </si>
  <si>
    <t>Sau khi học</t>
  </si>
  <si>
    <t>Test run</t>
  </si>
  <si>
    <t xml:space="preserve">Type of defect </t>
  </si>
  <si>
    <t xml:space="preserve">Workshift </t>
  </si>
  <si>
    <t>Scratch</t>
  </si>
  <si>
    <t>Broken</t>
  </si>
  <si>
    <t>Gap</t>
  </si>
  <si>
    <t>Step</t>
  </si>
  <si>
    <t>Defect are recored for each shift</t>
  </si>
  <si>
    <t>Machine</t>
  </si>
  <si>
    <t>Shift 1</t>
  </si>
  <si>
    <t>Shift 2</t>
  </si>
  <si>
    <t>Shift 3</t>
  </si>
  <si>
    <t>Reproducibility</t>
  </si>
  <si>
    <t>Repeatability</t>
  </si>
  <si>
    <t>2 người</t>
  </si>
  <si>
    <t>2 mẫu</t>
  </si>
  <si>
    <t>2 lần/mẫu</t>
  </si>
  <si>
    <t>Sample A</t>
  </si>
  <si>
    <t>Đại Đo 3 lần</t>
  </si>
  <si>
    <t>Operator</t>
  </si>
  <si>
    <t>Part no</t>
  </si>
  <si>
    <t>Data 1</t>
  </si>
  <si>
    <t>Data 2</t>
  </si>
  <si>
    <t>Vinh</t>
  </si>
  <si>
    <t>Tú</t>
  </si>
  <si>
    <r>
      <t>S</t>
    </r>
    <r>
      <rPr>
        <vertAlign val="subscript"/>
        <sz val="11"/>
        <color theme="1"/>
        <rFont val="Calibri"/>
        <family val="2"/>
        <scheme val="minor"/>
      </rPr>
      <t>gage</t>
    </r>
    <r>
      <rPr>
        <sz val="11"/>
        <color theme="1"/>
        <rFont val="Calibri"/>
        <family val="2"/>
        <scheme val="minor"/>
      </rPr>
      <t>=</t>
    </r>
  </si>
  <si>
    <r>
      <t>S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=</t>
    </r>
  </si>
  <si>
    <r>
      <t>S</t>
    </r>
    <r>
      <rPr>
        <vertAlign val="subscript"/>
        <sz val="11"/>
        <color theme="1"/>
        <rFont val="Calibri"/>
        <family val="2"/>
        <scheme val="minor"/>
      </rPr>
      <t>process</t>
    </r>
    <r>
      <rPr>
        <sz val="11"/>
        <color theme="1"/>
        <rFont val="Calibri"/>
        <family val="2"/>
        <scheme val="minor"/>
      </rPr>
      <t>=</t>
    </r>
  </si>
  <si>
    <t>Gr 1</t>
  </si>
  <si>
    <t>Gr 2</t>
  </si>
  <si>
    <t>stotal=</t>
  </si>
  <si>
    <t>Long</t>
  </si>
  <si>
    <t>Hải</t>
  </si>
  <si>
    <t>swithin=</t>
  </si>
  <si>
    <t>Hằng</t>
  </si>
  <si>
    <t>s1=</t>
  </si>
  <si>
    <t>s1 binh phuong</t>
  </si>
  <si>
    <t>s2 binh phuong</t>
  </si>
  <si>
    <t>Part</t>
  </si>
  <si>
    <t>Rep.no</t>
  </si>
  <si>
    <t>S.Event</t>
  </si>
  <si>
    <t>USL=</t>
  </si>
  <si>
    <t>*</t>
  </si>
  <si>
    <t>SPEC 16.5 +- 0.8</t>
  </si>
  <si>
    <t>Spec = 145.7+/-0.15</t>
  </si>
  <si>
    <t>LSL=</t>
  </si>
  <si>
    <t>sigma gage (1 part đo 3 lần)</t>
  </si>
  <si>
    <t>sigma total (4 part đo 1 lần)</t>
  </si>
  <si>
    <t>sigma process</t>
  </si>
  <si>
    <t>%study var=</t>
  </si>
  <si>
    <t>Break</t>
  </si>
  <si>
    <t>%tolerance=</t>
  </si>
  <si>
    <t>Re.Carib</t>
  </si>
  <si>
    <t>NDC=</t>
  </si>
  <si>
    <t>Giang</t>
  </si>
  <si>
    <t>Kiên</t>
  </si>
  <si>
    <t>Phúc</t>
  </si>
  <si>
    <t>Phuc</t>
  </si>
  <si>
    <t>Spec</t>
  </si>
  <si>
    <r>
      <t xml:space="preserve">  5.98 </t>
    </r>
    <r>
      <rPr>
        <sz val="11"/>
        <color rgb="FF000000"/>
        <rFont val="LG Smart_H Regular"/>
        <family val="2"/>
      </rPr>
      <t>± 0.1 mm</t>
    </r>
  </si>
  <si>
    <t>Reference: 5.970</t>
  </si>
  <si>
    <t>측정자</t>
    <phoneticPr fontId="2" type="noConversion"/>
  </si>
  <si>
    <t>김선임 (1)</t>
    <phoneticPr fontId="2" type="noConversion"/>
  </si>
  <si>
    <t>이과장 (2)</t>
    <phoneticPr fontId="2" type="noConversion"/>
  </si>
  <si>
    <t>박대리 (3)</t>
    <phoneticPr fontId="2" type="noConversion"/>
  </si>
  <si>
    <t xml:space="preserve">Resistance </t>
  </si>
  <si>
    <t xml:space="preserve">            Run
시료No</t>
    <phoneticPr fontId="2" type="noConversion"/>
  </si>
  <si>
    <t>Run1</t>
    <phoneticPr fontId="2" type="noConversion"/>
  </si>
  <si>
    <t>Run2</t>
    <phoneticPr fontId="2" type="noConversion"/>
  </si>
  <si>
    <t>Zusl=</t>
  </si>
  <si>
    <t>ZLSL=</t>
  </si>
  <si>
    <t>u=</t>
  </si>
  <si>
    <t>Sigma</t>
  </si>
  <si>
    <t>Group</t>
    <phoneticPr fontId="0" type="noConversion"/>
  </si>
  <si>
    <t>Data</t>
    <phoneticPr fontId="0" type="noConversion"/>
  </si>
  <si>
    <t>Cp,Cpk?</t>
  </si>
  <si>
    <t>Zbench?</t>
  </si>
  <si>
    <t>Gr</t>
  </si>
  <si>
    <t>Spec : 14± 0.2</t>
  </si>
  <si>
    <t>Cpk?</t>
  </si>
  <si>
    <t>Zshift?</t>
  </si>
  <si>
    <t>Vẽ block cải tiến</t>
  </si>
  <si>
    <t>1. Test phân phối chuẩn</t>
  </si>
  <si>
    <t>Bài</t>
  </si>
  <si>
    <t>P value</t>
  </si>
  <si>
    <t>Cpk</t>
  </si>
  <si>
    <t>Zlt</t>
  </si>
  <si>
    <t>Zst</t>
  </si>
  <si>
    <t>Zshift</t>
  </si>
  <si>
    <t>Biểu đồ 4 khối</t>
  </si>
  <si>
    <t>Định hướng Cải tiến</t>
  </si>
  <si>
    <t>2. Tính CPK, Zst, Zlt, Zshift</t>
  </si>
  <si>
    <t>Kỹ thuật</t>
  </si>
  <si>
    <t>3. Xác định vùng cải tiến trong biểu đồ 4 khối</t>
  </si>
  <si>
    <t>Quản lí</t>
  </si>
  <si>
    <t>SPEC 600+/-4 mm</t>
  </si>
  <si>
    <t>SPEC 0+/-2mm</t>
  </si>
  <si>
    <t>Spec 5.98+/-0.1 mm</t>
  </si>
  <si>
    <t>Sub 1</t>
  </si>
  <si>
    <t>Sub 2</t>
  </si>
  <si>
    <t>Sub 3</t>
  </si>
  <si>
    <t>Sub 4</t>
  </si>
  <si>
    <t>Sub 5</t>
  </si>
  <si>
    <t>Sub 6</t>
  </si>
  <si>
    <t>Date</t>
  </si>
  <si>
    <t>Sample 1</t>
  </si>
  <si>
    <t>Sample 2</t>
  </si>
  <si>
    <t>Sample 3</t>
  </si>
  <si>
    <t>Sample 4</t>
  </si>
  <si>
    <t>Sample 5</t>
  </si>
  <si>
    <t>Xbar</t>
    <phoneticPr fontId="3" type="noConversion"/>
  </si>
  <si>
    <t>R</t>
    <phoneticPr fontId="3" type="noConversion"/>
  </si>
  <si>
    <t>No</t>
    <phoneticPr fontId="3" type="noConversion"/>
  </si>
  <si>
    <t>Average</t>
    <phoneticPr fontId="3" type="noConversion"/>
  </si>
  <si>
    <t>Max</t>
    <phoneticPr fontId="3" type="noConversion"/>
  </si>
  <si>
    <t>Min</t>
    <phoneticPr fontId="3" type="noConversion"/>
  </si>
  <si>
    <t>Range</t>
    <phoneticPr fontId="3" type="noConversion"/>
  </si>
  <si>
    <t>UCL</t>
    <phoneticPr fontId="3" type="noConversion"/>
  </si>
  <si>
    <t>LCL</t>
    <phoneticPr fontId="3" type="noConversion"/>
  </si>
  <si>
    <t>Index for Control Chart</t>
    <phoneticPr fontId="3" type="noConversion"/>
  </si>
  <si>
    <t>Group 
size</t>
    <phoneticPr fontId="3" type="noConversion"/>
  </si>
  <si>
    <t>A</t>
    <phoneticPr fontId="3" type="noConversion"/>
  </si>
  <si>
    <t>A2</t>
    <phoneticPr fontId="3" type="noConversion"/>
  </si>
  <si>
    <t>A3</t>
    <phoneticPr fontId="3" type="noConversion"/>
  </si>
  <si>
    <t>B3</t>
    <phoneticPr fontId="3" type="noConversion"/>
  </si>
  <si>
    <t>B4</t>
    <phoneticPr fontId="3" type="noConversion"/>
  </si>
  <si>
    <t>B5</t>
    <phoneticPr fontId="3" type="noConversion"/>
  </si>
  <si>
    <t>B6</t>
  </si>
  <si>
    <t>D1</t>
    <phoneticPr fontId="3" type="noConversion"/>
  </si>
  <si>
    <t>D2</t>
    <phoneticPr fontId="3" type="noConversion"/>
  </si>
  <si>
    <t>D3</t>
  </si>
  <si>
    <t>D4</t>
  </si>
  <si>
    <t>c4</t>
    <phoneticPr fontId="3" type="noConversion"/>
  </si>
  <si>
    <t>d2</t>
    <phoneticPr fontId="3" type="noConversion"/>
  </si>
  <si>
    <t>d3</t>
    <phoneticPr fontId="3" type="noConversion"/>
  </si>
  <si>
    <t>m3</t>
    <phoneticPr fontId="3" type="noConversion"/>
  </si>
  <si>
    <t>-</t>
  </si>
  <si>
    <t>1.A</t>
  </si>
  <si>
    <t>1.M</t>
  </si>
  <si>
    <t>2.A</t>
  </si>
  <si>
    <t>2.M</t>
  </si>
  <si>
    <t>3.A</t>
  </si>
  <si>
    <t>3.M</t>
  </si>
  <si>
    <t>4.A</t>
  </si>
  <si>
    <t>4.M</t>
  </si>
  <si>
    <t>5.A</t>
  </si>
  <si>
    <t>5.M</t>
  </si>
  <si>
    <t>6.A</t>
  </si>
  <si>
    <t>6.M</t>
  </si>
  <si>
    <t>7.A</t>
  </si>
  <si>
    <t>7.M</t>
  </si>
  <si>
    <t>No.</t>
  </si>
  <si>
    <t>Thickness(mm)</t>
  </si>
  <si>
    <t>Sample N</t>
  </si>
  <si>
    <t>Reject N</t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</si>
  <si>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01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</si>
  <si>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04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</si>
  <si>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06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</si>
  <si>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07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</si>
  <si>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08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</si>
  <si>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11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</si>
  <si>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12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</si>
  <si>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13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</si>
  <si>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14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</si>
  <si>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15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</si>
  <si>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18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</si>
  <si>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19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</si>
  <si>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20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</si>
  <si>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28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</si>
  <si>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29</t>
    </r>
    <r>
      <rPr>
        <sz val="11"/>
        <color rgb="FF000000"/>
        <rFont val="Arial"/>
        <family val="2"/>
      </rPr>
      <t>일</t>
    </r>
  </si>
  <si>
    <r>
      <t>05</t>
    </r>
    <r>
      <rPr>
        <sz val="11"/>
        <color rgb="FF000000"/>
        <rFont val="Arial"/>
        <family val="2"/>
      </rPr>
      <t xml:space="preserve">월 </t>
    </r>
    <r>
      <rPr>
        <sz val="11"/>
        <color rgb="FF000000"/>
        <rFont val="맑은 고딕"/>
      </rPr>
      <t>30</t>
    </r>
    <r>
      <rPr>
        <sz val="11"/>
        <color rgb="FF000000"/>
        <rFont val="Arial"/>
        <family val="2"/>
      </rPr>
      <t>일</t>
    </r>
  </si>
  <si>
    <t>Year</t>
  </si>
  <si>
    <t>Số tai nạn LĐ</t>
  </si>
  <si>
    <t>Jan</t>
  </si>
  <si>
    <t>Feb</t>
  </si>
  <si>
    <t>UCL=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</si>
  <si>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</si>
  <si>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</si>
  <si>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</si>
  <si>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</si>
  <si>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</si>
  <si>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</si>
  <si>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</si>
  <si>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</si>
  <si>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</si>
  <si>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</si>
  <si>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</si>
  <si>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WM
out case</t>
  </si>
  <si>
    <t>Inspector 1</t>
  </si>
  <si>
    <t>Inspector 2</t>
  </si>
  <si>
    <t>1st time</t>
  </si>
  <si>
    <t>2nd time</t>
  </si>
  <si>
    <t>Inspector</t>
  </si>
  <si>
    <t>Carton Box</t>
  </si>
  <si>
    <t>IQC Men</t>
  </si>
  <si>
    <t>Strength</t>
  </si>
  <si>
    <t>Sub group 1</t>
  </si>
  <si>
    <t>Sub group 2</t>
  </si>
  <si>
    <t>Sub group 3</t>
  </si>
  <si>
    <t>Sub group 4</t>
  </si>
  <si>
    <t>Sub group 5</t>
  </si>
  <si>
    <t>Sub group 6</t>
  </si>
  <si>
    <t>OK</t>
  </si>
  <si>
    <t>Cuong</t>
  </si>
  <si>
    <t>NG</t>
  </si>
  <si>
    <t>Charging Volume</t>
  </si>
  <si>
    <t>An</t>
  </si>
  <si>
    <t>Ha</t>
  </si>
  <si>
    <t>Huy</t>
  </si>
  <si>
    <t>Viet</t>
  </si>
  <si>
    <t>P.Resolution</t>
  </si>
  <si>
    <t>A.Resolution</t>
  </si>
  <si>
    <t>IR Filter Type</t>
  </si>
  <si>
    <t>Filter size</t>
  </si>
  <si>
    <t>Image sensor Type</t>
  </si>
  <si>
    <t>Auto focus</t>
  </si>
  <si>
    <t>Satisfaction</t>
  </si>
  <si>
    <t>A Type</t>
  </si>
  <si>
    <t>B Type</t>
  </si>
  <si>
    <t>Off</t>
  </si>
  <si>
    <t>On</t>
  </si>
  <si>
    <t>Result 1</t>
  </si>
  <si>
    <t>D1</t>
  </si>
  <si>
    <t>Result 2</t>
  </si>
  <si>
    <t>D2</t>
  </si>
  <si>
    <t>Result 3</t>
  </si>
  <si>
    <t>Result 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</si>
  <si>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</si>
  <si>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</si>
  <si>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</si>
  <si>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</si>
  <si>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</si>
  <si>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</si>
  <si>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</si>
  <si>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</si>
  <si>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</si>
  <si>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</si>
  <si>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</si>
  <si>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</si>
  <si>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Success</t>
  </si>
  <si>
    <t>Fail USL</t>
  </si>
  <si>
    <t>Fail LSL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</si>
</sst>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(* #,##0_);_(* \(#,##0\);_(* &quot;-&quot;??_);_(@_)"/>
    <numFmt numFmtId="178" formatCode="0.0"/>
    <numFmt numFmtId="179" formatCode="0.0000"/>
  </numFmts>
  <fonts count="4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맑은 고딕"/>
    </font>
    <font>
      <b/>
      <sz val="11"/>
      <color rgb="FF000000"/>
      <name val="맑은 고딕"/>
    </font>
    <font>
      <sz val="11"/>
      <color rgb="FF000000"/>
      <name val="맑은 고딕"/>
    </font>
    <font>
      <b/>
      <sz val="14"/>
      <name val="Arial"/>
      <family val="2"/>
    </font>
    <font>
      <sz val="14"/>
      <name val="Arial"/>
      <family val="2"/>
    </font>
    <font>
      <b/>
      <sz val="12"/>
      <name val=".VnArial"/>
      <family val="2"/>
    </font>
    <font>
      <sz val="12"/>
      <name val=".Vn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LG Smart_H Regular"/>
      <family val="2"/>
    </font>
    <font>
      <sz val="12"/>
      <color rgb="FF000000"/>
      <name val="Arial Narrow"/>
      <family val="2"/>
    </font>
    <font>
      <sz val="11"/>
      <color rgb="FF000000"/>
      <name val="Calibri"/>
      <family val="2"/>
    </font>
    <font>
      <vertAlign val="subscript"/>
      <sz val="11"/>
      <color theme="1"/>
      <name val="Segoe UI"/>
      <family val="2"/>
    </font>
    <font>
      <sz val="9"/>
      <color rgb="FF000000"/>
      <name val="맑은 고딕"/>
    </font>
    <font>
      <b/>
      <sz val="8"/>
      <color rgb="FF000000"/>
      <name val="맑은 고딕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C00000"/>
      <name val="Segoe UI"/>
      <family val="2"/>
    </font>
    <font>
      <b/>
      <sz val="11"/>
      <color rgb="FF3F3F3F"/>
      <name val="Calibri"/>
      <family val="2"/>
      <scheme val="minor"/>
    </font>
    <font>
      <b/>
      <strike/>
      <sz val="11"/>
      <color rgb="FFC00000"/>
      <name val="Segoe UI"/>
      <family val="2"/>
    </font>
    <font>
      <sz val="11"/>
      <color theme="0"/>
      <name val="Segoe UI"/>
      <family val="2"/>
    </font>
    <font>
      <sz val="11"/>
      <color rgb="FFFF000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4" fillId="0" borderId="0"/>
    <xf numFmtId="176" fontId="4" fillId="0" borderId="0" applyFont="0" applyFill="0" applyBorder="0" applyAlignment="0" applyProtection="0"/>
    <xf numFmtId="0" fontId="7" fillId="0" borderId="0">
      <alignment vertical="center"/>
    </xf>
    <xf numFmtId="0" fontId="11" fillId="0" borderId="0">
      <alignment vertical="center"/>
    </xf>
    <xf numFmtId="176" fontId="2" fillId="0" borderId="0" applyFont="0" applyFill="0" applyBorder="0" applyAlignment="0" applyProtection="0"/>
    <xf numFmtId="0" fontId="41" fillId="15" borderId="33" applyNumberFormat="0" applyAlignment="0" applyProtection="0"/>
    <xf numFmtId="9" fontId="2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/>
    <xf numFmtId="177" fontId="0" fillId="0" borderId="0" xfId="2" applyNumberFormat="1" applyFont="1"/>
    <xf numFmtId="177" fontId="4" fillId="0" borderId="0" xfId="1" applyNumberFormat="1"/>
    <xf numFmtId="0" fontId="4" fillId="2" borderId="1" xfId="1" applyFill="1" applyBorder="1" applyAlignment="1">
      <alignment horizontal="right" vertical="center"/>
    </xf>
    <xf numFmtId="0" fontId="4" fillId="2" borderId="1" xfId="1" applyFill="1" applyBorder="1" applyAlignment="1">
      <alignment horizontal="center" vertical="center"/>
    </xf>
    <xf numFmtId="178" fontId="4" fillId="3" borderId="1" xfId="1" applyNumberFormat="1" applyFill="1" applyBorder="1" applyAlignment="1">
      <alignment horizontal="center" vertical="center"/>
    </xf>
    <xf numFmtId="178" fontId="4" fillId="0" borderId="0" xfId="1" applyNumberFormat="1"/>
    <xf numFmtId="0" fontId="4" fillId="4" borderId="0" xfId="1" applyFill="1"/>
    <xf numFmtId="0" fontId="5" fillId="0" borderId="2" xfId="1" applyFont="1" applyBorder="1" applyAlignment="1">
      <alignment horizontal="right" wrapText="1" readingOrder="1"/>
    </xf>
    <xf numFmtId="0" fontId="6" fillId="0" borderId="2" xfId="1" applyFont="1" applyBorder="1" applyAlignment="1">
      <alignment horizontal="center" vertical="center" wrapText="1" readingOrder="1"/>
    </xf>
    <xf numFmtId="0" fontId="6" fillId="0" borderId="2" xfId="1" applyFont="1" applyBorder="1" applyAlignment="1">
      <alignment horizontal="right" vertical="center" wrapText="1" readingOrder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3">
      <alignment vertical="center"/>
    </xf>
    <xf numFmtId="0" fontId="8" fillId="0" borderId="3" xfId="3" applyFont="1" applyBorder="1" applyAlignment="1">
      <alignment horizontal="center" vertical="center"/>
    </xf>
    <xf numFmtId="0" fontId="3" fillId="0" borderId="1" xfId="3" applyFont="1" applyBorder="1">
      <alignment vertical="center"/>
    </xf>
    <xf numFmtId="0" fontId="8" fillId="0" borderId="6" xfId="3" applyFont="1" applyBorder="1" applyAlignment="1">
      <alignment horizontal="left" vertical="top" wrapText="1"/>
    </xf>
    <xf numFmtId="0" fontId="9" fillId="0" borderId="1" xfId="3" applyFont="1" applyBorder="1" applyAlignment="1">
      <alignment horizontal="center" vertical="center" wrapText="1" readingOrder="1"/>
    </xf>
    <xf numFmtId="0" fontId="9" fillId="0" borderId="7" xfId="3" applyFont="1" applyBorder="1" applyAlignment="1">
      <alignment horizontal="center" vertical="center" wrapText="1" readingOrder="1"/>
    </xf>
    <xf numFmtId="0" fontId="10" fillId="0" borderId="1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 readingOrder="1"/>
    </xf>
    <xf numFmtId="0" fontId="9" fillId="0" borderId="9" xfId="3" applyFont="1" applyBorder="1" applyAlignment="1">
      <alignment horizontal="center" vertical="center" wrapText="1" readingOrder="1"/>
    </xf>
    <xf numFmtId="0" fontId="9" fillId="0" borderId="10" xfId="3" applyFont="1" applyBorder="1" applyAlignment="1">
      <alignment horizontal="center" vertical="center" wrapText="1" readingOrder="1"/>
    </xf>
    <xf numFmtId="0" fontId="9" fillId="0" borderId="11" xfId="3" applyFont="1" applyBorder="1" applyAlignment="1">
      <alignment horizontal="center" vertical="center" wrapText="1" readingOrder="1"/>
    </xf>
    <xf numFmtId="0" fontId="7" fillId="0" borderId="0" xfId="3" applyAlignment="1"/>
    <xf numFmtId="0" fontId="11" fillId="0" borderId="0" xfId="4">
      <alignment vertical="center"/>
    </xf>
    <xf numFmtId="0" fontId="11" fillId="5" borderId="1" xfId="4" applyFill="1" applyBorder="1" applyAlignment="1">
      <alignment horizontal="center" vertical="center"/>
    </xf>
    <xf numFmtId="0" fontId="12" fillId="6" borderId="14" xfId="4" applyFont="1" applyFill="1" applyBorder="1" applyAlignment="1">
      <alignment horizontal="center" vertical="center" wrapText="1" readingOrder="1"/>
    </xf>
    <xf numFmtId="0" fontId="12" fillId="6" borderId="2" xfId="4" applyFont="1" applyFill="1" applyBorder="1" applyAlignment="1">
      <alignment horizontal="center" vertical="center" wrapText="1" readingOrder="1"/>
    </xf>
    <xf numFmtId="0" fontId="12" fillId="6" borderId="15" xfId="4" applyFont="1" applyFill="1" applyBorder="1" applyAlignment="1">
      <alignment horizontal="center" vertical="center" wrapText="1" readingOrder="1"/>
    </xf>
    <xf numFmtId="0" fontId="12" fillId="6" borderId="1" xfId="4" applyFont="1" applyFill="1" applyBorder="1" applyAlignment="1">
      <alignment horizontal="center" vertical="center" wrapText="1" readingOrder="1"/>
    </xf>
    <xf numFmtId="0" fontId="12" fillId="6" borderId="12" xfId="4" applyFont="1" applyFill="1" applyBorder="1" applyAlignment="1">
      <alignment horizontal="center" vertical="center" wrapText="1" readingOrder="1"/>
    </xf>
    <xf numFmtId="0" fontId="11" fillId="0" borderId="1" xfId="4" applyBorder="1" applyAlignment="1">
      <alignment horizontal="center" vertical="center"/>
    </xf>
    <xf numFmtId="0" fontId="12" fillId="0" borderId="14" xfId="4" applyFont="1" applyBorder="1" applyAlignment="1">
      <alignment horizontal="center" vertical="center" wrapText="1" readingOrder="1"/>
    </xf>
    <xf numFmtId="0" fontId="12" fillId="0" borderId="2" xfId="4" applyFont="1" applyBorder="1" applyAlignment="1">
      <alignment horizontal="center" vertical="center" wrapText="1" readingOrder="1"/>
    </xf>
    <xf numFmtId="0" fontId="12" fillId="0" borderId="15" xfId="4" applyFont="1" applyBorder="1" applyAlignment="1">
      <alignment horizontal="center" vertical="center" wrapText="1" readingOrder="1"/>
    </xf>
    <xf numFmtId="0" fontId="11" fillId="0" borderId="1" xfId="4" applyBorder="1">
      <alignment vertical="center"/>
    </xf>
    <xf numFmtId="0" fontId="11" fillId="0" borderId="12" xfId="4" applyBorder="1">
      <alignment vertical="center"/>
    </xf>
    <xf numFmtId="179" fontId="11" fillId="0" borderId="1" xfId="4" applyNumberFormat="1" applyBorder="1">
      <alignment vertical="center"/>
    </xf>
    <xf numFmtId="0" fontId="12" fillId="0" borderId="16" xfId="4" applyFont="1" applyBorder="1" applyAlignment="1">
      <alignment horizontal="center" vertical="center" wrapText="1" readingOrder="1"/>
    </xf>
    <xf numFmtId="0" fontId="11" fillId="0" borderId="17" xfId="4" applyBorder="1">
      <alignment vertical="center"/>
    </xf>
    <xf numFmtId="0" fontId="11" fillId="0" borderId="18" xfId="4" applyBorder="1">
      <alignment vertical="center"/>
    </xf>
    <xf numFmtId="0" fontId="11" fillId="7" borderId="1" xfId="4" applyFill="1" applyBorder="1">
      <alignment vertical="center"/>
    </xf>
    <xf numFmtId="0" fontId="11" fillId="0" borderId="0" xfId="4" applyAlignment="1">
      <alignment horizontal="center" vertical="center"/>
    </xf>
    <xf numFmtId="0" fontId="11" fillId="7" borderId="1" xfId="4" applyFill="1" applyBorder="1" applyAlignment="1">
      <alignment horizontal="center" vertical="center" wrapText="1"/>
    </xf>
    <xf numFmtId="0" fontId="11" fillId="7" borderId="1" xfId="4" applyFill="1" applyBorder="1" applyAlignment="1">
      <alignment horizontal="center" vertical="center"/>
    </xf>
    <xf numFmtId="0" fontId="13" fillId="8" borderId="19" xfId="4" applyFont="1" applyFill="1" applyBorder="1" applyAlignment="1">
      <alignment horizontal="center" vertical="top" wrapText="1"/>
    </xf>
    <xf numFmtId="0" fontId="14" fillId="9" borderId="19" xfId="4" applyFont="1" applyFill="1" applyBorder="1" applyAlignment="1">
      <alignment horizontal="center" vertical="top" wrapText="1"/>
    </xf>
    <xf numFmtId="0" fontId="13" fillId="8" borderId="20" xfId="4" applyFont="1" applyFill="1" applyBorder="1" applyAlignment="1">
      <alignment horizontal="center" vertical="top" wrapText="1"/>
    </xf>
    <xf numFmtId="0" fontId="14" fillId="9" borderId="20" xfId="4" applyFont="1" applyFill="1" applyBorder="1" applyAlignment="1">
      <alignment horizontal="center" vertical="top" wrapText="1"/>
    </xf>
    <xf numFmtId="0" fontId="15" fillId="10" borderId="21" xfId="4" applyFont="1" applyFill="1" applyBorder="1" applyAlignment="1">
      <alignment horizontal="center" wrapText="1" readingOrder="1"/>
    </xf>
    <xf numFmtId="0" fontId="15" fillId="10" borderId="22" xfId="4" applyFont="1" applyFill="1" applyBorder="1" applyAlignment="1">
      <alignment horizontal="center" wrapText="1" readingOrder="1"/>
    </xf>
    <xf numFmtId="0" fontId="15" fillId="10" borderId="23" xfId="4" applyFont="1" applyFill="1" applyBorder="1" applyAlignment="1">
      <alignment horizontal="center" wrapText="1" readingOrder="1"/>
    </xf>
    <xf numFmtId="0" fontId="16" fillId="0" borderId="21" xfId="4" applyFont="1" applyBorder="1" applyAlignment="1">
      <alignment horizontal="center" wrapText="1" readingOrder="1"/>
    </xf>
    <xf numFmtId="0" fontId="16" fillId="0" borderId="22" xfId="4" applyFont="1" applyBorder="1" applyAlignment="1">
      <alignment horizontal="center" wrapText="1" readingOrder="1"/>
    </xf>
    <xf numFmtId="0" fontId="16" fillId="0" borderId="23" xfId="4" applyFont="1" applyBorder="1" applyAlignment="1">
      <alignment horizontal="center" wrapText="1" readingOrder="1"/>
    </xf>
    <xf numFmtId="0" fontId="15" fillId="10" borderId="2" xfId="4" applyFont="1" applyFill="1" applyBorder="1" applyAlignment="1">
      <alignment horizontal="center" wrapText="1" readingOrder="1"/>
    </xf>
    <xf numFmtId="0" fontId="17" fillId="0" borderId="2" xfId="4" applyFont="1" applyBorder="1" applyAlignment="1">
      <alignment horizontal="center" wrapText="1" readingOrder="1"/>
    </xf>
    <xf numFmtId="0" fontId="18" fillId="11" borderId="2" xfId="4" applyFont="1" applyFill="1" applyBorder="1" applyAlignment="1">
      <alignment horizontal="center" vertical="center" wrapText="1" readingOrder="1"/>
    </xf>
    <xf numFmtId="0" fontId="19" fillId="0" borderId="2" xfId="4" applyFont="1" applyBorder="1" applyAlignment="1">
      <alignment horizontal="center" vertical="center" wrapText="1" readingOrder="1"/>
    </xf>
    <xf numFmtId="0" fontId="21" fillId="12" borderId="1" xfId="0" applyFont="1" applyFill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13" borderId="26" xfId="0" applyFont="1" applyFill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/>
    </xf>
    <xf numFmtId="0" fontId="23" fillId="0" borderId="25" xfId="0" applyFont="1" applyBorder="1" applyAlignment="1">
      <alignment horizontal="center"/>
    </xf>
    <xf numFmtId="178" fontId="24" fillId="0" borderId="1" xfId="0" applyNumberFormat="1" applyFont="1" applyBorder="1"/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178" fontId="0" fillId="0" borderId="0" xfId="0" applyNumberFormat="1"/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6" fillId="12" borderId="1" xfId="0" applyFont="1" applyFill="1" applyBorder="1"/>
    <xf numFmtId="0" fontId="27" fillId="11" borderId="2" xfId="0" applyFont="1" applyFill="1" applyBorder="1" applyAlignment="1">
      <alignment horizontal="center" wrapText="1" readingOrder="1"/>
    </xf>
    <xf numFmtId="0" fontId="27" fillId="11" borderId="2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left" wrapText="1" readingOrder="1"/>
    </xf>
    <xf numFmtId="0" fontId="30" fillId="0" borderId="2" xfId="0" applyFont="1" applyBorder="1" applyAlignment="1">
      <alignment horizontal="center" vertical="center" wrapText="1" readingOrder="1"/>
    </xf>
    <xf numFmtId="14" fontId="31" fillId="0" borderId="2" xfId="0" applyNumberFormat="1" applyFont="1" applyBorder="1" applyAlignment="1">
      <alignment horizontal="center" vertical="center" wrapText="1" readingOrder="1"/>
    </xf>
    <xf numFmtId="0" fontId="9" fillId="0" borderId="0" xfId="3" applyFont="1" applyAlignment="1">
      <alignment horizontal="center" vertical="center" wrapText="1" readingOrder="1"/>
    </xf>
    <xf numFmtId="0" fontId="6" fillId="0" borderId="2" xfId="0" applyFont="1" applyBorder="1" applyAlignment="1">
      <alignment horizontal="center" wrapText="1" readingOrder="1"/>
    </xf>
    <xf numFmtId="0" fontId="6" fillId="0" borderId="1" xfId="4" applyFont="1" applyBorder="1" applyAlignment="1">
      <alignment horizontal="center" vertical="center" wrapText="1" readingOrder="1"/>
    </xf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7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0" borderId="1" xfId="1" applyBorder="1" applyAlignment="1">
      <alignment horizontal="right" vertical="center"/>
    </xf>
    <xf numFmtId="1" fontId="4" fillId="0" borderId="0" xfId="1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3" fillId="0" borderId="30" xfId="0" applyFont="1" applyBorder="1" applyAlignment="1">
      <alignment horizontal="left" vertical="center"/>
    </xf>
    <xf numFmtId="0" fontId="33" fillId="0" borderId="31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4" fillId="14" borderId="2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 readingOrder="1"/>
    </xf>
    <xf numFmtId="0" fontId="0" fillId="4" borderId="0" xfId="0" applyFill="1"/>
    <xf numFmtId="0" fontId="4" fillId="0" borderId="1" xfId="1" applyBorder="1"/>
    <xf numFmtId="177" fontId="33" fillId="0" borderId="30" xfId="5" applyNumberFormat="1" applyFont="1" applyBorder="1" applyAlignment="1">
      <alignment horizontal="center" vertical="center" wrapText="1"/>
    </xf>
    <xf numFmtId="177" fontId="33" fillId="0" borderId="31" xfId="5" applyNumberFormat="1" applyFont="1" applyBorder="1" applyAlignment="1">
      <alignment horizontal="center" vertical="center" wrapText="1"/>
    </xf>
    <xf numFmtId="177" fontId="33" fillId="0" borderId="32" xfId="5" applyNumberFormat="1" applyFont="1" applyBorder="1" applyAlignment="1">
      <alignment horizontal="center" vertical="center" wrapText="1"/>
    </xf>
    <xf numFmtId="0" fontId="36" fillId="0" borderId="0" xfId="1" applyFont="1"/>
    <xf numFmtId="0" fontId="1" fillId="0" borderId="0" xfId="0" applyFont="1"/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10" fontId="4" fillId="0" borderId="0" xfId="1" applyNumberFormat="1"/>
    <xf numFmtId="0" fontId="40" fillId="0" borderId="1" xfId="1" applyFont="1" applyBorder="1"/>
    <xf numFmtId="0" fontId="0" fillId="4" borderId="1" xfId="0" applyFill="1" applyBorder="1" applyAlignment="1">
      <alignment horizontal="centerContinuous"/>
    </xf>
    <xf numFmtId="0" fontId="5" fillId="4" borderId="2" xfId="1" applyFont="1" applyFill="1" applyBorder="1" applyAlignment="1">
      <alignment horizontal="center" wrapText="1" readingOrder="1"/>
    </xf>
    <xf numFmtId="0" fontId="41" fillId="15" borderId="33" xfId="6" applyAlignment="1">
      <alignment horizontal="center" wrapText="1" readingOrder="1"/>
    </xf>
    <xf numFmtId="0" fontId="42" fillId="0" borderId="1" xfId="1" applyFont="1" applyBorder="1"/>
    <xf numFmtId="9" fontId="0" fillId="0" borderId="0" xfId="7" applyFont="1"/>
    <xf numFmtId="0" fontId="2" fillId="16" borderId="0" xfId="0" applyFont="1" applyFill="1"/>
    <xf numFmtId="0" fontId="43" fillId="0" borderId="0" xfId="1" applyFont="1"/>
    <xf numFmtId="0" fontId="44" fillId="0" borderId="0" xfId="1" applyFont="1"/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1" fillId="0" borderId="1" xfId="4" applyBorder="1" applyAlignment="1">
      <alignment horizontal="center" vertical="center"/>
    </xf>
    <xf numFmtId="0" fontId="11" fillId="0" borderId="12" xfId="4" applyBorder="1" applyAlignment="1">
      <alignment horizontal="center" vertical="center"/>
    </xf>
    <xf numFmtId="0" fontId="11" fillId="0" borderId="13" xfId="4" applyBorder="1" applyAlignment="1">
      <alignment horizontal="center" vertical="center"/>
    </xf>
    <xf numFmtId="0" fontId="20" fillId="12" borderId="17" xfId="0" applyFont="1" applyFill="1" applyBorder="1" applyAlignment="1">
      <alignment horizontal="center" vertical="center" wrapText="1"/>
    </xf>
    <xf numFmtId="0" fontId="20" fillId="12" borderId="24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6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wrapText="1" readingOrder="1"/>
    </xf>
    <xf numFmtId="0" fontId="6" fillId="0" borderId="0" xfId="0" applyFont="1" applyAlignment="1">
      <alignment horizontal="center" wrapText="1" readingOrder="1"/>
    </xf>
    <xf numFmtId="0" fontId="28" fillId="11" borderId="1" xfId="4" applyFont="1" applyFill="1" applyBorder="1" applyAlignment="1">
      <alignment horizontal="center" vertical="center" wrapText="1" readingOrder="1"/>
    </xf>
    <xf numFmtId="0" fontId="1" fillId="0" borderId="1" xfId="4" applyFont="1" applyBorder="1" applyAlignment="1">
      <alignment horizontal="center" vertical="center" readingOrder="1"/>
    </xf>
  </cellXfs>
  <cellStyles count="8">
    <cellStyle name="Comma" xfId="5" builtinId="3"/>
    <cellStyle name="Comma 2" xfId="2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4" xr:uid="{00000000-0005-0000-0000-000005000000}"/>
    <cellStyle name="Output" xfId="6" builtinId="21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'Vẽ normal distribution'!$B$3:$B$13</c:f>
              <c:numCache>
                <c:formatCode>General</c:formatCode>
                <c:ptCount val="11"/>
                <c:pt idx="0">
                  <c:v>157</c:v>
                </c:pt>
                <c:pt idx="1">
                  <c:v>157</c:v>
                </c:pt>
                <c:pt idx="2">
                  <c:v>160</c:v>
                </c:pt>
                <c:pt idx="3">
                  <c:v>165</c:v>
                </c:pt>
                <c:pt idx="4">
                  <c:v>165</c:v>
                </c:pt>
                <c:pt idx="5">
                  <c:v>168</c:v>
                </c:pt>
                <c:pt idx="6">
                  <c:v>168</c:v>
                </c:pt>
                <c:pt idx="7">
                  <c:v>168</c:v>
                </c:pt>
                <c:pt idx="8">
                  <c:v>170</c:v>
                </c:pt>
                <c:pt idx="9">
                  <c:v>170</c:v>
                </c:pt>
                <c:pt idx="10">
                  <c:v>180</c:v>
                </c:pt>
              </c:numCache>
            </c:numRef>
          </c:xVal>
          <c:yVal>
            <c:numRef>
              <c:f>'Vẽ normal distribution'!$C$3:$C$13</c:f>
              <c:numCache>
                <c:formatCode>General</c:formatCode>
                <c:ptCount val="11"/>
                <c:pt idx="0">
                  <c:v>2.3065145612408341E-2</c:v>
                </c:pt>
                <c:pt idx="1">
                  <c:v>2.3065145612408341E-2</c:v>
                </c:pt>
                <c:pt idx="2">
                  <c:v>3.8959248068948696E-2</c:v>
                </c:pt>
                <c:pt idx="3">
                  <c:v>5.9219487580526309E-2</c:v>
                </c:pt>
                <c:pt idx="4">
                  <c:v>5.9219487580526309E-2</c:v>
                </c:pt>
                <c:pt idx="5">
                  <c:v>5.7947562745544995E-2</c:v>
                </c:pt>
                <c:pt idx="6">
                  <c:v>5.7947562745544995E-2</c:v>
                </c:pt>
                <c:pt idx="7">
                  <c:v>5.7947562745544995E-2</c:v>
                </c:pt>
                <c:pt idx="8">
                  <c:v>5.0974901432303057E-2</c:v>
                </c:pt>
                <c:pt idx="9">
                  <c:v>5.0974901432303057E-2</c:v>
                </c:pt>
                <c:pt idx="10">
                  <c:v>6.8588752721254979E-3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B-41AA-8ACD-83C3F207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68083888"/>
        <c:axId val="-768081168"/>
      </c:scatterChart>
      <c:valAx>
        <c:axId val="-76808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8081168"/>
        <c:crosses val="autoZero"/>
        <c:crossBetween val="midCat"/>
      </c:valAx>
      <c:valAx>
        <c:axId val="-768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808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51320C9F-9BAE-4F34-B3BD-E58C91B294BD}">
          <cx:dataId val="0"/>
          <cx:layoutPr>
            <cx:binning intervalClosed="r" underflow="auto" overflow="auto">
              <cx:binSize val="4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203660</xdr:colOff>
      <xdr:row>3</xdr:row>
      <xdr:rowOff>9837</xdr:rowOff>
    </xdr:from>
    <xdr:to>
      <xdr:col>15</xdr:col>
      <xdr:colOff>7520</xdr:colOff>
      <xdr:row>17</xdr:row>
      <xdr:rowOff>55958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3DE89-000D-4196-A6F2-87865A423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223712</xdr:colOff>
      <xdr:row>17</xdr:row>
      <xdr:rowOff>103521</xdr:rowOff>
    </xdr:from>
    <xdr:to>
      <xdr:col>12</xdr:col>
      <xdr:colOff>418285</xdr:colOff>
      <xdr:row>31</xdr:row>
      <xdr:rowOff>179408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1767808-21E0-40A8-BFC7-89BEBC99C2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9526</xdr:rowOff>
    </xdr:from>
    <xdr:to>
      <xdr:col>2</xdr:col>
      <xdr:colOff>9525</xdr:colOff>
      <xdr:row>3</xdr:row>
      <xdr:rowOff>9525</xdr:rowOff>
    </xdr:to>
    <xdr:cxnSp macro="">
      <xdr:nvCxnSpPr>
        <xdr:cNvPr id="2" name="직선 연결선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 flipH="1" flipV="1">
          <a:off x="409575" y="581026"/>
          <a:ext cx="952500" cy="4476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4810548" cy="5790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525" y="0"/>
          <a:ext cx="4810548" cy="5790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1100">
              <a:latin typeface="Arial (Body)"/>
            </a:rPr>
            <a:t>Q</a:t>
          </a:r>
          <a:r>
            <a:rPr lang="vi-VN" sz="1100">
              <a:latin typeface="Arial (Body)"/>
            </a:rPr>
            <a:t>1.Lực bắt cục cân bằng máy giặt lồng ngang tiêu chuẩn 100± 10kg.cm,</a:t>
          </a:r>
        </a:p>
        <a:p>
          <a:pPr algn="l"/>
          <a:r>
            <a:rPr lang="vi-VN" sz="1100">
              <a:latin typeface="Arial (Body)"/>
            </a:rPr>
            <a:t>Tiến hành đo 30 mẫu, thu được giá trị trung bình 102kg.cm và </a:t>
          </a:r>
          <a:r>
            <a:rPr lang="vi-VN" sz="1100">
              <a:solidFill>
                <a:schemeClr val="tx1"/>
              </a:solidFill>
              <a:latin typeface="Arial (Body)"/>
              <a:ea typeface="+mn-ea"/>
              <a:cs typeface="+mn-cs"/>
            </a:rPr>
            <a:t>STDEV </a:t>
          </a:r>
          <a:r>
            <a:rPr lang="en-US" sz="1100">
              <a:solidFill>
                <a:schemeClr val="tx1"/>
              </a:solidFill>
              <a:latin typeface="Arial (Body)"/>
              <a:ea typeface="+mn-ea"/>
              <a:cs typeface="+mn-cs"/>
            </a:rPr>
            <a:t>5.2</a:t>
          </a:r>
          <a:endParaRPr lang="vi-VN" sz="1100">
            <a:solidFill>
              <a:schemeClr val="tx1"/>
            </a:solidFill>
            <a:latin typeface="Arial (Body)"/>
            <a:ea typeface="+mn-ea"/>
            <a:cs typeface="+mn-cs"/>
          </a:endParaRPr>
        </a:p>
        <a:p>
          <a:pPr algn="l"/>
          <a:r>
            <a:rPr lang="vi-VN" sz="1100">
              <a:latin typeface="Arial (Body)"/>
            </a:rPr>
            <a:t>→ Tính số lượng lỗi trên 1</a:t>
          </a:r>
          <a:r>
            <a:rPr lang="en-US" sz="1100">
              <a:latin typeface="Arial (Body)"/>
            </a:rPr>
            <a:t>000</a:t>
          </a:r>
          <a:r>
            <a:rPr lang="en-US" sz="1100" baseline="0">
              <a:latin typeface="Arial (Body)"/>
            </a:rPr>
            <a:t> </a:t>
          </a:r>
          <a:r>
            <a:rPr lang="vi-VN" sz="1100">
              <a:latin typeface="Arial (Body)"/>
            </a:rPr>
            <a:t>sản phẩm</a:t>
          </a:r>
          <a:r>
            <a:rPr lang="en-US" sz="1100">
              <a:latin typeface="Arial (Body)"/>
            </a:rPr>
            <a:t>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403860</xdr:colOff>
      <xdr:row>0</xdr:row>
      <xdr:rowOff>121920</xdr:rowOff>
    </xdr:from>
    <xdr:to>
      <xdr:col>17</xdr:col>
      <xdr:colOff>60960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3580" y="121920"/>
          <a:ext cx="5143500" cy="200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zoomScale="130" zoomScaleNormal="130" workbookViewId="0">
      <selection activeCell="AH12" sqref="AH12:AH16"/>
    </sheetView>
  </sheetViews>
  <sheetFormatPr defaultColWidth="9.140625" defaultRowHeight="16.5"/>
  <cols>
    <col min="1" max="2" width="9.140625" style="6"/>
    <col min="3" max="14" width="9.140625" style="6" hidden="1" customWidth="1"/>
    <col min="15" max="15" width="0" style="6" hidden="1" customWidth="1"/>
    <col min="16" max="16" width="11" style="6" hidden="1" customWidth="1"/>
    <col min="17" max="28" width="0" style="6" hidden="1" customWidth="1"/>
    <col min="29" max="32" width="9.140625" style="6"/>
    <col min="33" max="33" width="14.42578125" style="6" bestFit="1" customWidth="1"/>
    <col min="34" max="40" width="9.140625" style="6"/>
    <col min="41" max="41" width="16.140625" style="6" customWidth="1"/>
    <col min="42" max="42" width="11.5703125" style="6" customWidth="1"/>
    <col min="43" max="16384" width="9.140625" style="6"/>
  </cols>
  <sheetData>
    <row r="1" spans="1:44">
      <c r="A1" s="102" t="s">
        <v>0</v>
      </c>
      <c r="B1" s="102" t="s">
        <v>1</v>
      </c>
      <c r="C1" s="103"/>
      <c r="D1" s="103"/>
      <c r="I1" s="6" t="e">
        <f>A1-$D$2</f>
        <v>#VALUE!</v>
      </c>
      <c r="J1" s="6" t="e">
        <f>I1*I1</f>
        <v>#VALUE!</v>
      </c>
      <c r="L1" s="6" t="s">
        <v>2</v>
      </c>
      <c r="M1" s="6">
        <f>MAX(A1:A20)</f>
        <v>174</v>
      </c>
      <c r="V1" s="6" t="e">
        <f>A1-$Q$3</f>
        <v>#VALUE!</v>
      </c>
      <c r="X1" s="6" t="e">
        <f>V1*V1</f>
        <v>#VALUE!</v>
      </c>
    </row>
    <row r="2" spans="1:44">
      <c r="A2" s="102">
        <v>170</v>
      </c>
      <c r="B2" s="102" t="s">
        <v>3</v>
      </c>
      <c r="C2" s="103" t="s">
        <v>4</v>
      </c>
      <c r="D2" s="103">
        <f>AVERAGE(A1:A20)</f>
        <v>171.74736842105264</v>
      </c>
      <c r="F2" s="6" t="s">
        <v>5</v>
      </c>
      <c r="G2" s="6">
        <v>20</v>
      </c>
      <c r="I2" s="6">
        <f t="shared" ref="I2:I20" si="0">A2-$D$2</f>
        <v>-1.7473684210526415</v>
      </c>
      <c r="J2" s="6">
        <f t="shared" ref="J2:J20" si="1">I2*I2</f>
        <v>3.0532963988920012</v>
      </c>
      <c r="L2" s="6" t="s">
        <v>6</v>
      </c>
      <c r="M2" s="6">
        <f>MIN(A1:A20)</f>
        <v>168</v>
      </c>
      <c r="V2" s="6">
        <f t="shared" ref="V2:V20" si="2">A2-$Q$3</f>
        <v>-1.5300000000000011</v>
      </c>
      <c r="X2" s="6">
        <f t="shared" ref="X2:X19" si="3">V2*V2</f>
        <v>2.3409000000000035</v>
      </c>
      <c r="AG2" s="6" t="s">
        <v>7</v>
      </c>
    </row>
    <row r="3" spans="1:44">
      <c r="A3" s="102">
        <v>171</v>
      </c>
      <c r="B3" s="102" t="s">
        <v>8</v>
      </c>
      <c r="C3" s="103"/>
      <c r="D3" s="103"/>
      <c r="I3" s="6">
        <f t="shared" si="0"/>
        <v>-0.74736842105264145</v>
      </c>
      <c r="J3" s="6">
        <f t="shared" si="1"/>
        <v>0.55855955678671831</v>
      </c>
      <c r="L3" s="6" t="s">
        <v>9</v>
      </c>
      <c r="M3" s="6">
        <f>M1-M2</f>
        <v>6</v>
      </c>
      <c r="P3" s="6" t="s">
        <v>10</v>
      </c>
      <c r="Q3" s="6">
        <v>171.53</v>
      </c>
      <c r="V3" s="6">
        <f t="shared" si="2"/>
        <v>-0.53000000000000114</v>
      </c>
      <c r="X3" s="6">
        <f t="shared" si="3"/>
        <v>0.2809000000000012</v>
      </c>
      <c r="AH3" s="6" t="s">
        <v>11</v>
      </c>
      <c r="AJ3" s="6" t="s">
        <v>10</v>
      </c>
      <c r="AK3" s="6">
        <v>169</v>
      </c>
      <c r="AL3" s="6" t="s">
        <v>12</v>
      </c>
    </row>
    <row r="4" spans="1:44">
      <c r="A4" s="102">
        <v>172.5</v>
      </c>
      <c r="B4" s="102" t="s">
        <v>8</v>
      </c>
      <c r="C4" s="103"/>
      <c r="D4" s="103"/>
      <c r="I4" s="6">
        <f t="shared" si="0"/>
        <v>0.75263157894735855</v>
      </c>
      <c r="J4" s="6">
        <f t="shared" si="1"/>
        <v>0.56645429362879396</v>
      </c>
      <c r="P4" s="6" t="s">
        <v>13</v>
      </c>
      <c r="Q4" s="6">
        <v>171.8</v>
      </c>
      <c r="V4" s="6">
        <f t="shared" si="2"/>
        <v>0.96999999999999886</v>
      </c>
      <c r="X4" s="6">
        <f t="shared" si="3"/>
        <v>0.94089999999999785</v>
      </c>
      <c r="AJ4" s="6" t="s">
        <v>14</v>
      </c>
      <c r="AK4" s="6">
        <v>3.8</v>
      </c>
      <c r="AL4" s="6" t="s">
        <v>12</v>
      </c>
    </row>
    <row r="5" spans="1:44">
      <c r="A5" s="102">
        <v>171.6</v>
      </c>
      <c r="B5" s="102" t="s">
        <v>3</v>
      </c>
      <c r="C5" s="103"/>
      <c r="D5" s="103"/>
      <c r="I5" s="6">
        <f t="shared" si="0"/>
        <v>-0.14736842105264714</v>
      </c>
      <c r="J5" s="6">
        <f t="shared" si="1"/>
        <v>2.1717451523550292E-2</v>
      </c>
      <c r="P5" s="6" t="s">
        <v>15</v>
      </c>
      <c r="Q5" s="6">
        <v>172.25</v>
      </c>
      <c r="V5" s="6">
        <f t="shared" si="2"/>
        <v>6.9999999999993179E-2</v>
      </c>
      <c r="X5" s="6">
        <f t="shared" si="3"/>
        <v>4.8999999999990449E-3</v>
      </c>
      <c r="AI5" s="123"/>
      <c r="AJ5" s="6" t="s">
        <v>16</v>
      </c>
      <c r="AP5" s="6" t="s">
        <v>17</v>
      </c>
      <c r="AQ5" s="6" t="s">
        <v>18</v>
      </c>
    </row>
    <row r="6" spans="1:44">
      <c r="A6" s="102">
        <v>168</v>
      </c>
      <c r="B6" s="102" t="s">
        <v>3</v>
      </c>
      <c r="C6" s="103"/>
      <c r="D6" s="103"/>
      <c r="I6" s="6">
        <f t="shared" si="0"/>
        <v>-3.7473684210526415</v>
      </c>
      <c r="J6" s="6">
        <f t="shared" si="1"/>
        <v>14.042770083102567</v>
      </c>
      <c r="P6" s="6" t="s">
        <v>19</v>
      </c>
      <c r="V6" s="6">
        <f t="shared" si="2"/>
        <v>-3.5300000000000011</v>
      </c>
      <c r="X6" s="6">
        <f t="shared" si="3"/>
        <v>12.460900000000008</v>
      </c>
      <c r="AJ6" s="6" t="s">
        <v>20</v>
      </c>
      <c r="AP6" s="6" t="s">
        <v>21</v>
      </c>
      <c r="AQ6" s="6" t="s">
        <v>22</v>
      </c>
    </row>
    <row r="7" spans="1:44">
      <c r="A7" s="102">
        <v>170.9</v>
      </c>
      <c r="B7" s="102" t="s">
        <v>8</v>
      </c>
      <c r="C7" s="103"/>
      <c r="D7" s="103"/>
      <c r="I7" s="6">
        <f t="shared" si="0"/>
        <v>-0.84736842105263577</v>
      </c>
      <c r="J7" s="6">
        <f t="shared" si="1"/>
        <v>0.71803324099723698</v>
      </c>
      <c r="V7" s="6">
        <f t="shared" si="2"/>
        <v>-0.62999999999999545</v>
      </c>
      <c r="X7" s="6">
        <f t="shared" si="3"/>
        <v>0.39689999999999426</v>
      </c>
      <c r="AJ7" s="6" t="s">
        <v>23</v>
      </c>
      <c r="AP7" s="6" t="s">
        <v>24</v>
      </c>
    </row>
    <row r="8" spans="1:44">
      <c r="A8" s="102">
        <v>169.7</v>
      </c>
      <c r="B8" s="102" t="s">
        <v>3</v>
      </c>
      <c r="C8" s="103"/>
      <c r="D8" s="103"/>
      <c r="I8" s="6">
        <f t="shared" si="0"/>
        <v>-2.0473684210526528</v>
      </c>
      <c r="J8" s="6">
        <f t="shared" si="1"/>
        <v>4.1917174515236324</v>
      </c>
      <c r="V8" s="6">
        <f t="shared" si="2"/>
        <v>-1.8300000000000125</v>
      </c>
      <c r="X8" s="6">
        <f t="shared" si="3"/>
        <v>3.3489000000000457</v>
      </c>
      <c r="AP8" s="6" t="s">
        <v>25</v>
      </c>
      <c r="AQ8" s="6" t="s">
        <v>26</v>
      </c>
      <c r="AR8" s="6">
        <f>1-0.3974</f>
        <v>0.60260000000000002</v>
      </c>
    </row>
    <row r="9" spans="1:44">
      <c r="A9" s="102">
        <v>172</v>
      </c>
      <c r="B9" s="102" t="s">
        <v>8</v>
      </c>
      <c r="C9" s="103"/>
      <c r="D9" s="103"/>
      <c r="I9" s="6">
        <f t="shared" si="0"/>
        <v>0.25263157894735855</v>
      </c>
      <c r="J9" s="6">
        <f t="shared" si="1"/>
        <v>6.3822714681435452E-2</v>
      </c>
      <c r="P9" s="6" t="s">
        <v>27</v>
      </c>
      <c r="Q9" s="6">
        <v>6</v>
      </c>
      <c r="V9" s="6">
        <f t="shared" si="2"/>
        <v>0.46999999999999886</v>
      </c>
      <c r="X9" s="6">
        <f t="shared" si="3"/>
        <v>0.22089999999999893</v>
      </c>
      <c r="AJ9" s="131" t="s">
        <v>28</v>
      </c>
      <c r="AK9" s="131"/>
      <c r="AL9" s="131"/>
      <c r="AM9" s="131"/>
      <c r="AN9" s="131"/>
      <c r="AO9" s="131"/>
      <c r="AP9" s="131"/>
      <c r="AQ9" s="131"/>
      <c r="AR9" s="131" t="s">
        <v>29</v>
      </c>
    </row>
    <row r="10" spans="1:44">
      <c r="A10" s="102">
        <v>173</v>
      </c>
      <c r="B10" s="102" t="s">
        <v>8</v>
      </c>
      <c r="C10" s="103"/>
      <c r="D10" s="103"/>
      <c r="I10" s="6">
        <f t="shared" si="0"/>
        <v>1.2526315789473585</v>
      </c>
      <c r="J10" s="6">
        <f t="shared" si="1"/>
        <v>1.5690858725761525</v>
      </c>
      <c r="P10" s="6" t="s">
        <v>14</v>
      </c>
      <c r="Q10" s="6">
        <v>4.0199999999999996</v>
      </c>
      <c r="S10" s="6" t="s">
        <v>30</v>
      </c>
      <c r="T10" s="6">
        <v>20</v>
      </c>
      <c r="V10" s="6">
        <f t="shared" si="2"/>
        <v>1.4699999999999989</v>
      </c>
      <c r="X10" s="6">
        <f t="shared" si="3"/>
        <v>2.1608999999999967</v>
      </c>
    </row>
    <row r="11" spans="1:44">
      <c r="A11" s="102">
        <v>174</v>
      </c>
      <c r="B11" s="102" t="s">
        <v>3</v>
      </c>
      <c r="C11" s="103"/>
      <c r="D11" s="103"/>
      <c r="I11" s="6">
        <f t="shared" si="0"/>
        <v>2.2526315789473585</v>
      </c>
      <c r="J11" s="6">
        <f t="shared" si="1"/>
        <v>5.07434903047087</v>
      </c>
      <c r="S11" s="6" t="s">
        <v>31</v>
      </c>
      <c r="T11" s="6">
        <v>19</v>
      </c>
      <c r="V11" s="6">
        <f t="shared" si="2"/>
        <v>2.4699999999999989</v>
      </c>
      <c r="X11" s="6">
        <f t="shared" si="3"/>
        <v>6.100899999999994</v>
      </c>
      <c r="AH11" s="6" t="s">
        <v>32</v>
      </c>
    </row>
    <row r="12" spans="1:44">
      <c r="A12" s="102">
        <v>173.4</v>
      </c>
      <c r="B12" s="102" t="s">
        <v>8</v>
      </c>
      <c r="C12" s="103"/>
      <c r="D12" s="103"/>
      <c r="I12" s="6">
        <f t="shared" si="0"/>
        <v>1.6526315789473642</v>
      </c>
      <c r="J12" s="6">
        <f t="shared" si="1"/>
        <v>2.7311911357340581</v>
      </c>
      <c r="V12" s="6">
        <f t="shared" si="2"/>
        <v>1.8700000000000045</v>
      </c>
      <c r="X12" s="6">
        <f t="shared" si="3"/>
        <v>3.496900000000017</v>
      </c>
      <c r="AG12" s="113" t="s">
        <v>33</v>
      </c>
      <c r="AH12" s="113">
        <v>5.05</v>
      </c>
      <c r="AJ12" s="117" t="s">
        <v>34</v>
      </c>
    </row>
    <row r="13" spans="1:44">
      <c r="A13" s="102">
        <v>173.6</v>
      </c>
      <c r="B13" s="102" t="s">
        <v>8</v>
      </c>
      <c r="C13" s="103"/>
      <c r="D13" s="103"/>
      <c r="I13" s="6">
        <f t="shared" si="0"/>
        <v>1.8526315789473529</v>
      </c>
      <c r="J13" s="6">
        <f t="shared" si="1"/>
        <v>3.4322437673129618</v>
      </c>
      <c r="V13" s="6">
        <f t="shared" si="2"/>
        <v>2.0699999999999932</v>
      </c>
      <c r="X13" s="6">
        <f t="shared" si="3"/>
        <v>4.284899999999972</v>
      </c>
      <c r="AG13" s="113" t="s">
        <v>35</v>
      </c>
      <c r="AH13" s="113">
        <v>4.88</v>
      </c>
      <c r="AI13" s="6">
        <v>1</v>
      </c>
      <c r="AJ13" s="6" t="s">
        <v>36</v>
      </c>
      <c r="AP13" s="6" t="s">
        <v>37</v>
      </c>
      <c r="AQ13" s="6">
        <v>0.14749999999999999</v>
      </c>
    </row>
    <row r="14" spans="1:44">
      <c r="A14" s="102">
        <v>173.9</v>
      </c>
      <c r="B14" s="102" t="s">
        <v>3</v>
      </c>
      <c r="C14" s="103"/>
      <c r="D14" s="103"/>
      <c r="I14" s="6">
        <f t="shared" si="0"/>
        <v>2.1526315789473642</v>
      </c>
      <c r="J14" s="6">
        <f t="shared" si="1"/>
        <v>4.6338227146814228</v>
      </c>
      <c r="V14" s="6">
        <f t="shared" si="2"/>
        <v>2.3700000000000045</v>
      </c>
      <c r="X14" s="6">
        <f t="shared" si="3"/>
        <v>5.6169000000000215</v>
      </c>
      <c r="AG14" s="113" t="s">
        <v>38</v>
      </c>
      <c r="AH14" s="113">
        <v>5.01</v>
      </c>
      <c r="AI14" s="6">
        <v>2</v>
      </c>
      <c r="AJ14" s="6" t="s">
        <v>39</v>
      </c>
      <c r="AP14" s="6" t="s">
        <v>40</v>
      </c>
      <c r="AQ14" s="6">
        <f>0.07401+0.1474</f>
        <v>0.22141</v>
      </c>
    </row>
    <row r="15" spans="1:44">
      <c r="A15" s="102">
        <v>168</v>
      </c>
      <c r="B15" s="102" t="s">
        <v>3</v>
      </c>
      <c r="C15" s="103"/>
      <c r="D15" s="103"/>
      <c r="I15" s="6">
        <f t="shared" si="0"/>
        <v>-3.7473684210526415</v>
      </c>
      <c r="J15" s="6">
        <f t="shared" si="1"/>
        <v>14.042770083102567</v>
      </c>
      <c r="V15" s="6">
        <f t="shared" si="2"/>
        <v>-3.5300000000000011</v>
      </c>
      <c r="X15" s="6">
        <f t="shared" si="3"/>
        <v>12.460900000000008</v>
      </c>
      <c r="AG15" s="113" t="s">
        <v>41</v>
      </c>
      <c r="AH15" s="113">
        <v>4.92</v>
      </c>
      <c r="AI15" s="6">
        <v>3</v>
      </c>
      <c r="AJ15" s="6" t="s">
        <v>42</v>
      </c>
      <c r="AP15" s="6" t="s">
        <v>43</v>
      </c>
      <c r="AQ15" s="104">
        <f>0.07401*5000</f>
        <v>370.05</v>
      </c>
    </row>
    <row r="16" spans="1:44">
      <c r="A16" s="102">
        <v>173</v>
      </c>
      <c r="B16" s="102" t="s">
        <v>8</v>
      </c>
      <c r="C16" s="103"/>
      <c r="D16" s="103"/>
      <c r="I16" s="6">
        <f t="shared" si="0"/>
        <v>1.2526315789473585</v>
      </c>
      <c r="J16" s="6">
        <f t="shared" si="1"/>
        <v>1.5690858725761525</v>
      </c>
      <c r="V16" s="6">
        <f t="shared" si="2"/>
        <v>1.4699999999999989</v>
      </c>
      <c r="X16" s="6">
        <f t="shared" si="3"/>
        <v>2.1608999999999967</v>
      </c>
      <c r="AG16" s="113" t="s">
        <v>44</v>
      </c>
      <c r="AH16" s="113">
        <v>5.0599999999999996</v>
      </c>
      <c r="AI16" s="6">
        <v>4</v>
      </c>
      <c r="AJ16" s="6" t="s">
        <v>45</v>
      </c>
      <c r="AP16" s="6" t="s">
        <v>46</v>
      </c>
    </row>
    <row r="17" spans="1:44">
      <c r="A17" s="102">
        <v>173.4</v>
      </c>
      <c r="B17" s="102" t="s">
        <v>3</v>
      </c>
      <c r="C17" s="103"/>
      <c r="D17" s="103"/>
      <c r="I17" s="6">
        <f t="shared" si="0"/>
        <v>1.6526315789473642</v>
      </c>
      <c r="J17" s="6">
        <f t="shared" si="1"/>
        <v>2.7311911357340581</v>
      </c>
      <c r="V17" s="6">
        <f t="shared" si="2"/>
        <v>1.8700000000000045</v>
      </c>
      <c r="X17" s="6">
        <f t="shared" si="3"/>
        <v>3.496900000000017</v>
      </c>
      <c r="AG17" s="124" t="s">
        <v>47</v>
      </c>
      <c r="AH17" s="124">
        <f>AVERAGE(AH12:AH16)</f>
        <v>4.984</v>
      </c>
      <c r="AI17" s="6">
        <v>5</v>
      </c>
      <c r="AJ17" s="6" t="s">
        <v>48</v>
      </c>
      <c r="AP17" s="6" t="s">
        <v>49</v>
      </c>
    </row>
    <row r="18" spans="1:44">
      <c r="A18" s="102">
        <v>172.6</v>
      </c>
      <c r="B18" s="102" t="s">
        <v>8</v>
      </c>
      <c r="C18" s="103"/>
      <c r="D18" s="103"/>
      <c r="I18" s="6">
        <f t="shared" si="0"/>
        <v>0.85263157894735286</v>
      </c>
      <c r="J18" s="6">
        <f t="shared" si="1"/>
        <v>0.72698060941825604</v>
      </c>
      <c r="V18" s="6">
        <f t="shared" si="2"/>
        <v>1.0699999999999932</v>
      </c>
      <c r="X18" s="6">
        <f t="shared" si="3"/>
        <v>1.1448999999999854</v>
      </c>
      <c r="AG18" s="128" t="s">
        <v>50</v>
      </c>
      <c r="AH18" s="128">
        <f>_xlfn.STDEV.S(AH12:AH16)</f>
        <v>8.0187280786917725E-2</v>
      </c>
      <c r="AI18" s="6">
        <v>6</v>
      </c>
      <c r="AJ18" s="6" t="s">
        <v>51</v>
      </c>
      <c r="AQ18" s="6" t="s">
        <v>14</v>
      </c>
      <c r="AR18" s="6">
        <v>3.3689999999999998E-2</v>
      </c>
    </row>
    <row r="19" spans="1:44">
      <c r="A19" s="102">
        <v>173.6</v>
      </c>
      <c r="B19" s="102" t="s">
        <v>8</v>
      </c>
      <c r="C19" s="103"/>
      <c r="D19" s="103"/>
      <c r="I19" s="6">
        <f t="shared" si="0"/>
        <v>1.8526315789473529</v>
      </c>
      <c r="J19" s="6">
        <f t="shared" si="1"/>
        <v>3.4322437673129618</v>
      </c>
      <c r="V19" s="6">
        <f t="shared" si="2"/>
        <v>2.0699999999999932</v>
      </c>
      <c r="X19" s="6">
        <f t="shared" si="3"/>
        <v>4.284899999999972</v>
      </c>
      <c r="AG19" s="6" t="s">
        <v>52</v>
      </c>
      <c r="AH19" s="6">
        <f>AH18*3</f>
        <v>0.24056184236075318</v>
      </c>
    </row>
    <row r="20" spans="1:44">
      <c r="A20" s="102">
        <v>169</v>
      </c>
      <c r="B20" s="102" t="s">
        <v>3</v>
      </c>
      <c r="C20" s="103"/>
      <c r="D20" s="103"/>
      <c r="I20" s="6">
        <f t="shared" si="0"/>
        <v>-2.7473684210526415</v>
      </c>
      <c r="J20" s="6">
        <f t="shared" si="1"/>
        <v>7.5480332409972846</v>
      </c>
      <c r="V20" s="6">
        <f t="shared" si="2"/>
        <v>-2.5300000000000011</v>
      </c>
      <c r="X20" s="6">
        <f>V20*V20</f>
        <v>6.4009000000000054</v>
      </c>
      <c r="AG20" s="132" t="s">
        <v>53</v>
      </c>
      <c r="AH20" s="132">
        <f>AH17+AH19</f>
        <v>5.2245618423607532</v>
      </c>
    </row>
    <row r="21" spans="1:44">
      <c r="A21" s="102">
        <v>170</v>
      </c>
      <c r="B21" s="102" t="s">
        <v>8</v>
      </c>
      <c r="C21" s="103"/>
      <c r="D21" s="103"/>
      <c r="I21" s="6" t="s">
        <v>54</v>
      </c>
      <c r="J21" s="6" t="e">
        <f>SUM(J1:J20)</f>
        <v>#VALUE!</v>
      </c>
      <c r="W21" s="6" t="s">
        <v>55</v>
      </c>
      <c r="X21" s="6" t="e">
        <f>SUM(X1:X20)</f>
        <v>#VALUE!</v>
      </c>
      <c r="AG21" s="132" t="s">
        <v>56</v>
      </c>
      <c r="AH21" s="132">
        <f>AH17-AH19</f>
        <v>4.7434381576392468</v>
      </c>
      <c r="AO21" s="6">
        <f>0.25/100</f>
        <v>2.5000000000000001E-3</v>
      </c>
    </row>
    <row r="22" spans="1:44">
      <c r="I22" s="6" t="s">
        <v>57</v>
      </c>
      <c r="J22" s="6" t="e">
        <f>J21/19</f>
        <v>#VALUE!</v>
      </c>
      <c r="W22" s="6" t="s">
        <v>57</v>
      </c>
      <c r="X22" s="6" t="e">
        <f>X21/T11</f>
        <v>#VALUE!</v>
      </c>
    </row>
    <row r="23" spans="1:44">
      <c r="I23" s="6" t="s">
        <v>58</v>
      </c>
      <c r="J23" s="6" t="e">
        <f>SQRT(J22)</f>
        <v>#VALUE!</v>
      </c>
      <c r="W23" s="6" t="s">
        <v>58</v>
      </c>
      <c r="X23" s="6" t="e">
        <f>SQRT(X22)</f>
        <v>#VALUE!</v>
      </c>
    </row>
    <row r="31" spans="1:44">
      <c r="E31" s="6">
        <v>2</v>
      </c>
    </row>
    <row r="32" spans="1:44">
      <c r="E32" s="6">
        <v>4</v>
      </c>
    </row>
    <row r="33" spans="5:5">
      <c r="E33" s="6">
        <v>7</v>
      </c>
    </row>
    <row r="34" spans="5:5">
      <c r="E34" s="6">
        <v>11</v>
      </c>
    </row>
    <row r="35" spans="5:5">
      <c r="E35" s="6">
        <v>11</v>
      </c>
    </row>
    <row r="36" spans="5:5">
      <c r="E36" s="6">
        <v>11</v>
      </c>
    </row>
    <row r="37" spans="5:5">
      <c r="E37" s="6">
        <v>15</v>
      </c>
    </row>
    <row r="38" spans="5:5">
      <c r="E38" s="6">
        <v>16</v>
      </c>
    </row>
    <row r="39" spans="5:5">
      <c r="E39" s="6">
        <v>16</v>
      </c>
    </row>
    <row r="40" spans="5:5">
      <c r="E40" s="6">
        <v>24</v>
      </c>
    </row>
    <row r="41" spans="5:5">
      <c r="E41" s="6">
        <v>29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topLeftCell="A13" zoomScaleNormal="100" workbookViewId="0">
      <selection activeCell="C40" sqref="C40"/>
    </sheetView>
  </sheetViews>
  <sheetFormatPr defaultRowHeight="14.45"/>
  <cols>
    <col min="2" max="2" width="18.85546875" customWidth="1"/>
    <col min="3" max="3" width="19" customWidth="1"/>
    <col min="4" max="4" width="15.5703125" customWidth="1"/>
    <col min="5" max="5" width="18" customWidth="1"/>
    <col min="6" max="6" width="11" customWidth="1"/>
  </cols>
  <sheetData>
    <row r="2" spans="2:6">
      <c r="B2" t="s">
        <v>59</v>
      </c>
      <c r="C2" t="s">
        <v>60</v>
      </c>
      <c r="E2" t="s">
        <v>61</v>
      </c>
      <c r="F2" t="s">
        <v>62</v>
      </c>
    </row>
    <row r="3" spans="2:6">
      <c r="B3">
        <v>157</v>
      </c>
      <c r="C3">
        <f>_xlfn.NORM.DIST(B3,$D$18,$D$17,FALSE)</f>
        <v>2.3065145612408341E-2</v>
      </c>
      <c r="E3">
        <f t="shared" ref="E3:E13" si="0">B3-$D$18</f>
        <v>-9.181818181818187</v>
      </c>
      <c r="F3">
        <f>E3*E3</f>
        <v>84.305785123967041</v>
      </c>
    </row>
    <row r="4" spans="2:6">
      <c r="B4">
        <v>157</v>
      </c>
      <c r="C4">
        <f t="shared" ref="C4:C13" si="1">_xlfn.NORM.DIST(B4,$D$18,$D$17,FALSE)</f>
        <v>2.3065145612408341E-2</v>
      </c>
      <c r="E4">
        <f t="shared" si="0"/>
        <v>-9.181818181818187</v>
      </c>
      <c r="F4">
        <f t="shared" ref="F4:F13" si="2">E4*E4</f>
        <v>84.305785123967041</v>
      </c>
    </row>
    <row r="5" spans="2:6">
      <c r="B5">
        <v>160</v>
      </c>
      <c r="C5">
        <f t="shared" si="1"/>
        <v>3.8959248068948696E-2</v>
      </c>
      <c r="E5">
        <f t="shared" si="0"/>
        <v>-6.181818181818187</v>
      </c>
      <c r="F5">
        <f t="shared" si="2"/>
        <v>38.214876033057912</v>
      </c>
    </row>
    <row r="6" spans="2:6">
      <c r="B6">
        <v>165</v>
      </c>
      <c r="C6">
        <f t="shared" si="1"/>
        <v>5.9219487580526309E-2</v>
      </c>
      <c r="E6">
        <f t="shared" si="0"/>
        <v>-1.181818181818187</v>
      </c>
      <c r="F6">
        <f t="shared" si="2"/>
        <v>1.3966942148760453</v>
      </c>
    </row>
    <row r="7" spans="2:6">
      <c r="B7">
        <v>165</v>
      </c>
      <c r="C7">
        <f t="shared" si="1"/>
        <v>5.9219487580526309E-2</v>
      </c>
      <c r="E7">
        <f t="shared" si="0"/>
        <v>-1.181818181818187</v>
      </c>
      <c r="F7">
        <f t="shared" si="2"/>
        <v>1.3966942148760453</v>
      </c>
    </row>
    <row r="8" spans="2:6">
      <c r="B8">
        <v>168</v>
      </c>
      <c r="C8">
        <f t="shared" si="1"/>
        <v>5.7947562745544995E-2</v>
      </c>
      <c r="E8">
        <f t="shared" si="0"/>
        <v>1.818181818181813</v>
      </c>
      <c r="F8">
        <f t="shared" si="2"/>
        <v>3.3057851239669231</v>
      </c>
    </row>
    <row r="9" spans="2:6">
      <c r="B9">
        <v>168</v>
      </c>
      <c r="C9">
        <f t="shared" si="1"/>
        <v>5.7947562745544995E-2</v>
      </c>
      <c r="E9">
        <f t="shared" si="0"/>
        <v>1.818181818181813</v>
      </c>
      <c r="F9">
        <f t="shared" si="2"/>
        <v>3.3057851239669231</v>
      </c>
    </row>
    <row r="10" spans="2:6">
      <c r="B10">
        <v>168</v>
      </c>
      <c r="C10">
        <f t="shared" si="1"/>
        <v>5.7947562745544995E-2</v>
      </c>
      <c r="E10">
        <f t="shared" si="0"/>
        <v>1.818181818181813</v>
      </c>
      <c r="F10">
        <f t="shared" si="2"/>
        <v>3.3057851239669231</v>
      </c>
    </row>
    <row r="11" spans="2:6">
      <c r="B11">
        <v>170</v>
      </c>
      <c r="C11">
        <f t="shared" si="1"/>
        <v>5.0974901432303057E-2</v>
      </c>
      <c r="E11">
        <f t="shared" si="0"/>
        <v>3.818181818181813</v>
      </c>
      <c r="F11">
        <f t="shared" si="2"/>
        <v>14.578512396694176</v>
      </c>
    </row>
    <row r="12" spans="2:6">
      <c r="B12">
        <v>170</v>
      </c>
      <c r="C12">
        <f t="shared" si="1"/>
        <v>5.0974901432303057E-2</v>
      </c>
      <c r="E12">
        <f t="shared" si="0"/>
        <v>3.818181818181813</v>
      </c>
      <c r="F12">
        <f t="shared" si="2"/>
        <v>14.578512396694176</v>
      </c>
    </row>
    <row r="13" spans="2:6">
      <c r="B13">
        <v>180</v>
      </c>
      <c r="C13">
        <f t="shared" si="1"/>
        <v>6.8588752721254979E-3</v>
      </c>
      <c r="E13">
        <f t="shared" si="0"/>
        <v>13.818181818181813</v>
      </c>
      <c r="F13">
        <f t="shared" si="2"/>
        <v>190.94214876033044</v>
      </c>
    </row>
    <row r="14" spans="2:6">
      <c r="E14" t="s">
        <v>63</v>
      </c>
      <c r="F14">
        <f>SUM(F3:F13)</f>
        <v>439.63636363636368</v>
      </c>
    </row>
    <row r="15" spans="2:6">
      <c r="E15" t="s">
        <v>31</v>
      </c>
      <c r="F15">
        <f>COUNT(B3:B13)-1</f>
        <v>10</v>
      </c>
    </row>
    <row r="16" spans="2:6" ht="16.5">
      <c r="B16" s="122" t="s">
        <v>64</v>
      </c>
      <c r="C16" s="119" t="s">
        <v>65</v>
      </c>
      <c r="D16" s="120">
        <f>F14/F15</f>
        <v>43.963636363636368</v>
      </c>
      <c r="E16" s="121"/>
    </row>
    <row r="17" spans="2:6">
      <c r="B17" s="122" t="s">
        <v>66</v>
      </c>
      <c r="C17" s="119" t="s">
        <v>67</v>
      </c>
      <c r="D17" s="120">
        <f>SQRT(D16)</f>
        <v>6.6305080019283871</v>
      </c>
      <c r="E17" s="121" t="s">
        <v>12</v>
      </c>
      <c r="F17">
        <f>STDEV(B3:B13)</f>
        <v>6.6305080019283871</v>
      </c>
    </row>
    <row r="18" spans="2:6">
      <c r="B18" s="122" t="s">
        <v>68</v>
      </c>
      <c r="C18" s="119" t="s">
        <v>10</v>
      </c>
      <c r="D18" s="120">
        <f>AVERAGE(B3:B13)</f>
        <v>166.18181818181819</v>
      </c>
      <c r="E18" s="121" t="s">
        <v>12</v>
      </c>
    </row>
  </sheetData>
  <autoFilter ref="B2:B13" xr:uid="{00000000-0009-0000-0000-000001000000}">
    <sortState xmlns:xlrd2="http://schemas.microsoft.com/office/spreadsheetml/2017/richdata2" ref="B3:B13">
      <sortCondition ref="B2:B13"/>
    </sortState>
  </autoFilter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H13"/>
  <sheetViews>
    <sheetView zoomScale="130" zoomScaleNormal="130" workbookViewId="0">
      <selection activeCell="C7" sqref="C7"/>
    </sheetView>
  </sheetViews>
  <sheetFormatPr defaultRowHeight="14.45"/>
  <cols>
    <col min="4" max="4" width="18.5703125" bestFit="1" customWidth="1"/>
    <col min="5" max="5" width="10.28515625" customWidth="1"/>
    <col min="6" max="6" width="3.5703125" customWidth="1"/>
    <col min="7" max="7" width="45" customWidth="1"/>
    <col min="8" max="8" width="21.7109375" customWidth="1"/>
  </cols>
  <sheetData>
    <row r="2" spans="4:8" ht="15" thickBot="1"/>
    <row r="3" spans="4:8" s="98" customFormat="1" ht="15" thickBot="1">
      <c r="D3" s="99" t="s">
        <v>69</v>
      </c>
      <c r="E3" s="99" t="s">
        <v>70</v>
      </c>
      <c r="G3" s="110" t="s">
        <v>71</v>
      </c>
      <c r="H3" s="110" t="s">
        <v>72</v>
      </c>
    </row>
    <row r="4" spans="4:8" s="98" customFormat="1">
      <c r="D4" s="105" t="s">
        <v>73</v>
      </c>
      <c r="E4" s="106">
        <v>3</v>
      </c>
      <c r="G4" s="107" t="s">
        <v>74</v>
      </c>
      <c r="H4" s="114">
        <v>29936</v>
      </c>
    </row>
    <row r="5" spans="4:8" s="98" customFormat="1">
      <c r="D5" s="105" t="s">
        <v>75</v>
      </c>
      <c r="E5" s="106">
        <v>5</v>
      </c>
      <c r="G5" s="108" t="s">
        <v>76</v>
      </c>
      <c r="H5" s="115">
        <v>21922</v>
      </c>
    </row>
    <row r="6" spans="4:8" s="98" customFormat="1">
      <c r="D6" s="105" t="s">
        <v>77</v>
      </c>
      <c r="E6" s="106">
        <v>2</v>
      </c>
      <c r="G6" s="108" t="s">
        <v>78</v>
      </c>
      <c r="H6" s="115">
        <v>8780</v>
      </c>
    </row>
    <row r="7" spans="4:8" s="98" customFormat="1">
      <c r="D7" s="105" t="s">
        <v>79</v>
      </c>
      <c r="E7" s="106">
        <v>3</v>
      </c>
      <c r="G7" s="108" t="s">
        <v>76</v>
      </c>
      <c r="H7" s="115">
        <v>3491</v>
      </c>
    </row>
    <row r="8" spans="4:8" s="98" customFormat="1">
      <c r="D8" s="105" t="s">
        <v>80</v>
      </c>
      <c r="E8" s="106">
        <v>1</v>
      </c>
      <c r="G8" s="108" t="s">
        <v>81</v>
      </c>
      <c r="H8" s="115">
        <v>2083</v>
      </c>
    </row>
    <row r="9" spans="4:8" s="98" customFormat="1">
      <c r="D9" s="105" t="s">
        <v>82</v>
      </c>
      <c r="E9" s="106">
        <v>4</v>
      </c>
      <c r="G9" s="108" t="s">
        <v>83</v>
      </c>
      <c r="H9" s="115">
        <v>1088</v>
      </c>
    </row>
    <row r="10" spans="4:8" s="98" customFormat="1">
      <c r="D10" s="105" t="s">
        <v>84</v>
      </c>
      <c r="E10" s="106">
        <v>80</v>
      </c>
      <c r="G10" s="108" t="s">
        <v>85</v>
      </c>
      <c r="H10" s="115">
        <v>866</v>
      </c>
    </row>
    <row r="11" spans="4:8" s="98" customFormat="1">
      <c r="D11" s="105" t="s">
        <v>86</v>
      </c>
      <c r="E11" s="106">
        <v>62</v>
      </c>
      <c r="G11" s="108" t="s">
        <v>87</v>
      </c>
      <c r="H11" s="115">
        <v>566</v>
      </c>
    </row>
    <row r="12" spans="4:8" s="98" customFormat="1" ht="15" thickBot="1">
      <c r="D12" s="105" t="s">
        <v>88</v>
      </c>
      <c r="E12" s="106">
        <v>3</v>
      </c>
      <c r="G12" s="109" t="s">
        <v>89</v>
      </c>
      <c r="H12" s="116">
        <v>456</v>
      </c>
    </row>
    <row r="13" spans="4:8" s="98" customFormat="1">
      <c r="D13" s="105" t="s">
        <v>90</v>
      </c>
      <c r="E13" s="106">
        <v>3</v>
      </c>
      <c r="G13"/>
      <c r="H13"/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61"/>
  <sheetViews>
    <sheetView topLeftCell="A4973" workbookViewId="0">
      <selection sqref="A1:A5000"/>
    </sheetView>
  </sheetViews>
  <sheetFormatPr defaultRowHeight="14.45"/>
  <cols>
    <col min="1" max="1" width="18.140625" style="3" bestFit="1" customWidth="1"/>
    <col min="4" max="4" width="10.7109375" bestFit="1" customWidth="1"/>
    <col min="7" max="7" width="18.28515625" bestFit="1" customWidth="1"/>
  </cols>
  <sheetData>
    <row r="1" spans="1:7">
      <c r="A1" s="4" t="s">
        <v>91</v>
      </c>
      <c r="G1" s="4" t="s">
        <v>91</v>
      </c>
    </row>
    <row r="2" spans="1:7">
      <c r="A2" s="2">
        <v>3.52</v>
      </c>
      <c r="D2" t="s">
        <v>92</v>
      </c>
      <c r="E2">
        <f>0.38/10</f>
        <v>3.7999999999999999E-2</v>
      </c>
      <c r="G2" s="2">
        <v>3.52</v>
      </c>
    </row>
    <row r="3" spans="1:7">
      <c r="A3" s="2">
        <v>3.78</v>
      </c>
      <c r="D3" t="s">
        <v>93</v>
      </c>
      <c r="E3">
        <f>3.41-E2/2</f>
        <v>3.391</v>
      </c>
      <c r="G3" s="2">
        <v>3.78</v>
      </c>
    </row>
    <row r="4" spans="1:7">
      <c r="A4" s="2">
        <v>3.52</v>
      </c>
      <c r="D4" t="s">
        <v>94</v>
      </c>
      <c r="E4">
        <f>E3+E2</f>
        <v>3.4289999999999998</v>
      </c>
      <c r="G4" s="2">
        <v>3.52</v>
      </c>
    </row>
    <row r="5" spans="1:7">
      <c r="A5" s="2">
        <v>3.65</v>
      </c>
      <c r="D5" t="s">
        <v>95</v>
      </c>
      <c r="E5">
        <f>(E3+E4)/2</f>
        <v>3.41</v>
      </c>
      <c r="G5" s="2">
        <v>3.65</v>
      </c>
    </row>
    <row r="6" spans="1:7">
      <c r="A6" s="2">
        <v>3.77</v>
      </c>
      <c r="G6" s="2">
        <v>3.77</v>
      </c>
    </row>
    <row r="7" spans="1:7">
      <c r="A7" s="2">
        <v>3.52</v>
      </c>
      <c r="G7" s="2">
        <v>3.52</v>
      </c>
    </row>
    <row r="8" spans="1:7">
      <c r="A8" s="2">
        <v>3.76</v>
      </c>
      <c r="G8" s="2">
        <v>3.76</v>
      </c>
    </row>
    <row r="9" spans="1:7">
      <c r="A9" s="2">
        <v>3.55</v>
      </c>
      <c r="G9" s="2">
        <v>3.55</v>
      </c>
    </row>
    <row r="10" spans="1:7">
      <c r="A10" s="2">
        <v>3.61</v>
      </c>
      <c r="G10" s="2">
        <v>3.61</v>
      </c>
    </row>
    <row r="11" spans="1:7">
      <c r="A11" s="2">
        <v>3.78</v>
      </c>
      <c r="G11" s="2">
        <v>3.78</v>
      </c>
    </row>
    <row r="12" spans="1:7">
      <c r="A12" s="2">
        <v>3.51</v>
      </c>
      <c r="G12" s="2">
        <v>3.51</v>
      </c>
    </row>
    <row r="13" spans="1:7">
      <c r="A13" s="2">
        <v>3.76</v>
      </c>
      <c r="G13" s="2">
        <v>3.76</v>
      </c>
    </row>
    <row r="14" spans="1:7">
      <c r="A14" s="2">
        <v>3.47</v>
      </c>
      <c r="G14" s="2">
        <v>3.47</v>
      </c>
    </row>
    <row r="15" spans="1:7">
      <c r="A15" s="2">
        <v>3.48</v>
      </c>
      <c r="G15" s="2">
        <v>3.48</v>
      </c>
    </row>
    <row r="16" spans="1:7">
      <c r="A16" s="2">
        <v>3.52</v>
      </c>
      <c r="G16" s="2">
        <v>3.52</v>
      </c>
    </row>
    <row r="17" spans="1:7">
      <c r="A17" s="2">
        <v>3.52</v>
      </c>
      <c r="G17" s="2">
        <v>3.52</v>
      </c>
    </row>
    <row r="18" spans="1:7">
      <c r="A18" s="2">
        <v>3.66</v>
      </c>
      <c r="G18" s="2">
        <v>3.66</v>
      </c>
    </row>
    <row r="19" spans="1:7">
      <c r="A19" s="2">
        <v>3.74</v>
      </c>
      <c r="G19" s="2">
        <v>3.74</v>
      </c>
    </row>
    <row r="20" spans="1:7">
      <c r="A20" s="2">
        <v>3.52</v>
      </c>
      <c r="G20" s="2">
        <v>3.52</v>
      </c>
    </row>
    <row r="21" spans="1:7">
      <c r="A21" s="2">
        <v>3.58</v>
      </c>
      <c r="G21" s="2">
        <v>3.58</v>
      </c>
    </row>
    <row r="22" spans="1:7">
      <c r="A22" s="2">
        <v>3.52</v>
      </c>
      <c r="G22" s="2">
        <v>3.52</v>
      </c>
    </row>
    <row r="23" spans="1:7">
      <c r="A23" s="2">
        <v>3.7</v>
      </c>
      <c r="G23" s="2">
        <v>3.7</v>
      </c>
    </row>
    <row r="24" spans="1:7">
      <c r="A24" s="2">
        <v>3.48</v>
      </c>
      <c r="G24" s="2">
        <v>3.48</v>
      </c>
    </row>
    <row r="25" spans="1:7">
      <c r="A25" s="2">
        <v>3.52</v>
      </c>
      <c r="G25" s="2">
        <v>3.52</v>
      </c>
    </row>
    <row r="26" spans="1:7">
      <c r="A26" s="2">
        <v>3.73</v>
      </c>
      <c r="G26" s="2">
        <v>3.73</v>
      </c>
    </row>
    <row r="27" spans="1:7">
      <c r="A27" s="2">
        <v>3.52</v>
      </c>
      <c r="G27" s="2">
        <v>3.52</v>
      </c>
    </row>
    <row r="28" spans="1:7">
      <c r="A28" s="2">
        <v>3.52</v>
      </c>
      <c r="G28" s="2">
        <v>3.52</v>
      </c>
    </row>
    <row r="29" spans="1:7">
      <c r="A29" s="2">
        <v>3.63</v>
      </c>
      <c r="G29" s="2">
        <v>3.63</v>
      </c>
    </row>
    <row r="30" spans="1:7">
      <c r="A30" s="2">
        <v>3.65</v>
      </c>
      <c r="G30" s="2">
        <v>3.65</v>
      </c>
    </row>
    <row r="31" spans="1:7">
      <c r="A31" s="2">
        <v>3.52</v>
      </c>
      <c r="G31" s="2">
        <v>3.52</v>
      </c>
    </row>
    <row r="32" spans="1:7">
      <c r="A32" s="2">
        <v>3.52</v>
      </c>
      <c r="G32" s="2">
        <v>3.52</v>
      </c>
    </row>
    <row r="33" spans="1:7">
      <c r="A33" s="2">
        <v>3.52</v>
      </c>
      <c r="G33" s="2">
        <v>3.52</v>
      </c>
    </row>
    <row r="34" spans="1:7">
      <c r="A34" s="2">
        <v>3.62</v>
      </c>
      <c r="G34" s="2">
        <v>3.62</v>
      </c>
    </row>
    <row r="35" spans="1:7">
      <c r="A35" s="2">
        <v>3.78</v>
      </c>
      <c r="G35" s="2">
        <v>3.78</v>
      </c>
    </row>
    <row r="36" spans="1:7">
      <c r="A36" s="2">
        <v>3.52</v>
      </c>
      <c r="G36" s="2">
        <v>3.52</v>
      </c>
    </row>
    <row r="37" spans="1:7">
      <c r="A37" s="2">
        <v>3.67</v>
      </c>
      <c r="G37" s="2">
        <v>3.67</v>
      </c>
    </row>
    <row r="38" spans="1:7">
      <c r="A38" s="2">
        <v>3.52</v>
      </c>
      <c r="G38" s="2">
        <v>3.52</v>
      </c>
    </row>
    <row r="39" spans="1:7">
      <c r="A39" s="2">
        <v>3.67</v>
      </c>
      <c r="G39" s="2">
        <v>3.67</v>
      </c>
    </row>
    <row r="40" spans="1:7">
      <c r="A40" s="2">
        <v>3.41</v>
      </c>
      <c r="G40" s="2">
        <v>3.41</v>
      </c>
    </row>
    <row r="41" spans="1:7">
      <c r="A41" s="2">
        <v>3.52</v>
      </c>
      <c r="G41" s="2">
        <v>3.52</v>
      </c>
    </row>
    <row r="42" spans="1:7">
      <c r="A42" s="2">
        <v>3.62</v>
      </c>
      <c r="G42" s="2">
        <v>3.62</v>
      </c>
    </row>
    <row r="43" spans="1:7">
      <c r="A43" s="2">
        <v>3.52</v>
      </c>
      <c r="G43" s="2">
        <v>3.52</v>
      </c>
    </row>
    <row r="44" spans="1:7">
      <c r="A44" s="2">
        <v>3.52</v>
      </c>
      <c r="G44" s="2">
        <v>3.52</v>
      </c>
    </row>
    <row r="45" spans="1:7">
      <c r="A45" s="2">
        <v>3.69</v>
      </c>
      <c r="G45" s="2">
        <v>3.69</v>
      </c>
    </row>
    <row r="46" spans="1:7">
      <c r="A46" s="2">
        <v>3.78</v>
      </c>
      <c r="G46" s="2">
        <v>3.78</v>
      </c>
    </row>
    <row r="47" spans="1:7">
      <c r="A47" s="2">
        <v>3.48</v>
      </c>
      <c r="G47" s="2">
        <v>3.48</v>
      </c>
    </row>
    <row r="48" spans="1:7">
      <c r="A48" s="2">
        <v>3.43</v>
      </c>
      <c r="G48" s="2">
        <v>3.43</v>
      </c>
    </row>
    <row r="49" spans="1:7">
      <c r="A49" s="2">
        <v>3.52</v>
      </c>
      <c r="G49" s="2">
        <v>3.52</v>
      </c>
    </row>
    <row r="50" spans="1:7">
      <c r="A50" s="2">
        <v>3.52</v>
      </c>
      <c r="G50" s="2">
        <v>3.52</v>
      </c>
    </row>
    <row r="51" spans="1:7">
      <c r="A51" s="2">
        <v>3.58</v>
      </c>
      <c r="G51" s="2">
        <v>3.58</v>
      </c>
    </row>
    <row r="52" spans="1:7">
      <c r="A52" s="2">
        <v>3.78</v>
      </c>
      <c r="G52" s="2">
        <v>3.78</v>
      </c>
    </row>
    <row r="53" spans="1:7">
      <c r="A53" s="2">
        <v>3.77</v>
      </c>
      <c r="G53" s="2">
        <v>3.77</v>
      </c>
    </row>
    <row r="54" spans="1:7">
      <c r="A54" s="2">
        <v>3.78</v>
      </c>
      <c r="G54" s="2">
        <v>3.78</v>
      </c>
    </row>
    <row r="55" spans="1:7">
      <c r="A55" s="2">
        <v>3.52</v>
      </c>
      <c r="G55" s="2">
        <v>3.52</v>
      </c>
    </row>
    <row r="56" spans="1:7">
      <c r="A56" s="2">
        <v>3.7</v>
      </c>
      <c r="G56" s="2">
        <v>3.7</v>
      </c>
    </row>
    <row r="57" spans="1:7">
      <c r="A57" s="2">
        <v>3.75</v>
      </c>
      <c r="G57" s="2">
        <v>3.75</v>
      </c>
    </row>
    <row r="58" spans="1:7">
      <c r="A58" s="2">
        <v>3.72</v>
      </c>
      <c r="G58" s="2">
        <v>3.72</v>
      </c>
    </row>
    <row r="59" spans="1:7">
      <c r="A59" s="2">
        <v>3.51</v>
      </c>
      <c r="G59" s="2">
        <v>3.51</v>
      </c>
    </row>
    <row r="60" spans="1:7">
      <c r="A60" s="2">
        <v>3.7</v>
      </c>
      <c r="G60" s="2">
        <v>3.7</v>
      </c>
    </row>
    <row r="61" spans="1:7">
      <c r="A61" s="2">
        <v>3.64</v>
      </c>
      <c r="G61" s="2">
        <v>3.64</v>
      </c>
    </row>
    <row r="62" spans="1:7">
      <c r="A62" s="2">
        <v>3.63</v>
      </c>
      <c r="G62" s="2">
        <v>3.63</v>
      </c>
    </row>
    <row r="63" spans="1:7">
      <c r="A63" s="2">
        <v>3.74</v>
      </c>
      <c r="G63" s="2">
        <v>3.74</v>
      </c>
    </row>
    <row r="64" spans="1:7">
      <c r="A64" s="2">
        <v>3.66</v>
      </c>
      <c r="G64" s="2">
        <v>3.66</v>
      </c>
    </row>
    <row r="65" spans="1:7">
      <c r="A65" s="2">
        <v>3.52</v>
      </c>
      <c r="G65" s="2">
        <v>3.52</v>
      </c>
    </row>
    <row r="66" spans="1:7">
      <c r="A66" s="2">
        <v>3.78</v>
      </c>
      <c r="G66" s="2">
        <v>3.78</v>
      </c>
    </row>
    <row r="67" spans="1:7">
      <c r="A67" s="2">
        <v>3.58</v>
      </c>
      <c r="G67" s="2">
        <v>3.58</v>
      </c>
    </row>
    <row r="68" spans="1:7">
      <c r="A68" s="2">
        <v>3.52</v>
      </c>
      <c r="G68" s="2">
        <v>3.52</v>
      </c>
    </row>
    <row r="69" spans="1:7">
      <c r="A69" s="2">
        <v>3.52</v>
      </c>
      <c r="G69" s="2">
        <v>3.52</v>
      </c>
    </row>
    <row r="70" spans="1:7">
      <c r="A70" s="2">
        <v>3.51</v>
      </c>
      <c r="G70" s="2">
        <v>3.51</v>
      </c>
    </row>
    <row r="71" spans="1:7">
      <c r="A71" s="2">
        <v>3.78</v>
      </c>
      <c r="G71" s="2">
        <v>3.78</v>
      </c>
    </row>
    <row r="72" spans="1:7">
      <c r="A72" s="2">
        <v>3.52</v>
      </c>
      <c r="G72" s="2">
        <v>3.52</v>
      </c>
    </row>
    <row r="73" spans="1:7">
      <c r="A73" s="2">
        <v>3.52</v>
      </c>
      <c r="G73" s="2">
        <v>3.52</v>
      </c>
    </row>
    <row r="74" spans="1:7">
      <c r="A74" s="2">
        <v>3.6</v>
      </c>
      <c r="G74" s="2">
        <v>3.6</v>
      </c>
    </row>
    <row r="75" spans="1:7">
      <c r="A75" s="2">
        <v>3.52</v>
      </c>
      <c r="G75" s="2">
        <v>3.52</v>
      </c>
    </row>
    <row r="76" spans="1:7">
      <c r="A76" s="2">
        <v>3.52</v>
      </c>
      <c r="G76" s="2">
        <v>3.52</v>
      </c>
    </row>
    <row r="77" spans="1:7">
      <c r="A77" s="2">
        <v>3.52</v>
      </c>
      <c r="G77" s="2">
        <v>3.52</v>
      </c>
    </row>
    <row r="78" spans="1:7">
      <c r="A78" s="2">
        <v>3.64</v>
      </c>
      <c r="G78" s="2">
        <v>3.64</v>
      </c>
    </row>
    <row r="79" spans="1:7">
      <c r="A79" s="2">
        <v>3.64</v>
      </c>
      <c r="G79" s="2">
        <v>3.64</v>
      </c>
    </row>
    <row r="80" spans="1:7">
      <c r="A80" s="2">
        <v>3.57</v>
      </c>
      <c r="G80" s="2">
        <v>3.57</v>
      </c>
    </row>
    <row r="81" spans="1:7">
      <c r="A81" s="2">
        <v>3.58</v>
      </c>
      <c r="G81" s="2">
        <v>3.58</v>
      </c>
    </row>
    <row r="82" spans="1:7">
      <c r="A82" s="2">
        <v>3.56</v>
      </c>
      <c r="G82" s="2">
        <v>3.56</v>
      </c>
    </row>
    <row r="83" spans="1:7">
      <c r="A83" s="2">
        <v>3.5</v>
      </c>
      <c r="G83" s="2">
        <v>3.5</v>
      </c>
    </row>
    <row r="84" spans="1:7">
      <c r="A84" s="2">
        <v>3.79</v>
      </c>
      <c r="G84" s="2">
        <v>3.79</v>
      </c>
    </row>
    <row r="85" spans="1:7">
      <c r="A85" s="2">
        <v>3.52</v>
      </c>
      <c r="G85" s="2">
        <v>3.52</v>
      </c>
    </row>
    <row r="86" spans="1:7">
      <c r="A86" s="2">
        <v>3.52</v>
      </c>
      <c r="G86" s="2">
        <v>3.52</v>
      </c>
    </row>
    <row r="87" spans="1:7">
      <c r="A87" s="2">
        <v>3.52</v>
      </c>
      <c r="G87" s="2">
        <v>3.52</v>
      </c>
    </row>
    <row r="88" spans="1:7">
      <c r="A88" s="2">
        <v>3.58</v>
      </c>
      <c r="G88" s="2">
        <v>3.58</v>
      </c>
    </row>
    <row r="89" spans="1:7">
      <c r="A89" s="2">
        <v>3.66</v>
      </c>
      <c r="G89" s="2">
        <v>3.66</v>
      </c>
    </row>
    <row r="90" spans="1:7">
      <c r="A90" s="2">
        <v>3.58</v>
      </c>
      <c r="G90" s="2">
        <v>3.58</v>
      </c>
    </row>
    <row r="91" spans="1:7">
      <c r="A91" s="2">
        <v>3.52</v>
      </c>
      <c r="G91" s="2">
        <v>3.52</v>
      </c>
    </row>
    <row r="92" spans="1:7">
      <c r="A92" s="2">
        <v>3.74</v>
      </c>
      <c r="G92" s="2">
        <v>3.74</v>
      </c>
    </row>
    <row r="93" spans="1:7">
      <c r="A93" s="2">
        <v>3.78</v>
      </c>
      <c r="G93" s="2">
        <v>3.78</v>
      </c>
    </row>
    <row r="94" spans="1:7">
      <c r="A94" s="2">
        <v>3.52</v>
      </c>
      <c r="G94" s="2">
        <v>3.52</v>
      </c>
    </row>
    <row r="95" spans="1:7">
      <c r="A95" s="2">
        <v>3.56</v>
      </c>
      <c r="G95" s="2">
        <v>3.56</v>
      </c>
    </row>
    <row r="96" spans="1:7">
      <c r="A96" s="2">
        <v>3.52</v>
      </c>
      <c r="G96" s="2">
        <v>3.52</v>
      </c>
    </row>
    <row r="97" spans="1:7">
      <c r="A97" s="2">
        <v>3.72</v>
      </c>
      <c r="G97" s="2">
        <v>3.72</v>
      </c>
    </row>
    <row r="98" spans="1:7">
      <c r="A98" s="2">
        <v>3.52</v>
      </c>
      <c r="G98" s="2">
        <v>3.52</v>
      </c>
    </row>
    <row r="99" spans="1:7">
      <c r="A99" s="2">
        <v>3.68</v>
      </c>
      <c r="G99" s="2">
        <v>3.68</v>
      </c>
    </row>
    <row r="100" spans="1:7">
      <c r="A100" s="2">
        <v>3.51</v>
      </c>
      <c r="G100" s="2">
        <v>3.51</v>
      </c>
    </row>
    <row r="101" spans="1:7">
      <c r="A101" s="2">
        <v>3.52</v>
      </c>
      <c r="G101" s="2">
        <v>3.52</v>
      </c>
    </row>
    <row r="102" spans="1:7">
      <c r="A102" s="2">
        <v>3.65</v>
      </c>
    </row>
    <row r="103" spans="1:7">
      <c r="A103" s="2">
        <v>3.51</v>
      </c>
    </row>
    <row r="104" spans="1:7">
      <c r="A104" s="2">
        <v>3.47</v>
      </c>
    </row>
    <row r="105" spans="1:7">
      <c r="A105" s="2">
        <v>3.78</v>
      </c>
    </row>
    <row r="106" spans="1:7">
      <c r="A106" s="2">
        <v>3.7</v>
      </c>
    </row>
    <row r="107" spans="1:7">
      <c r="A107" s="2">
        <v>3.43</v>
      </c>
    </row>
    <row r="108" spans="1:7">
      <c r="A108" s="2">
        <v>3.68</v>
      </c>
    </row>
    <row r="109" spans="1:7">
      <c r="A109" s="2">
        <v>3.6</v>
      </c>
    </row>
    <row r="110" spans="1:7">
      <c r="A110" s="2">
        <v>3.43</v>
      </c>
    </row>
    <row r="111" spans="1:7">
      <c r="A111" s="2">
        <v>3.46</v>
      </c>
    </row>
    <row r="112" spans="1:7">
      <c r="A112" s="2">
        <v>3.52</v>
      </c>
    </row>
    <row r="113" spans="1:1">
      <c r="A113" s="2">
        <v>3.51</v>
      </c>
    </row>
    <row r="114" spans="1:1">
      <c r="A114" s="2">
        <v>3.7</v>
      </c>
    </row>
    <row r="115" spans="1:1">
      <c r="A115" s="2">
        <v>3.41</v>
      </c>
    </row>
    <row r="116" spans="1:1">
      <c r="A116" s="2">
        <v>3.52</v>
      </c>
    </row>
    <row r="117" spans="1:1">
      <c r="A117" s="2">
        <v>3.43</v>
      </c>
    </row>
    <row r="118" spans="1:1">
      <c r="A118" s="2">
        <v>3.52</v>
      </c>
    </row>
    <row r="119" spans="1:1">
      <c r="A119" s="2">
        <v>3.52</v>
      </c>
    </row>
    <row r="120" spans="1:1">
      <c r="A120" s="2">
        <v>3.52</v>
      </c>
    </row>
    <row r="121" spans="1:1">
      <c r="A121" s="2">
        <v>3.82</v>
      </c>
    </row>
    <row r="122" spans="1:1">
      <c r="A122" s="2">
        <v>3.52</v>
      </c>
    </row>
    <row r="123" spans="1:1">
      <c r="A123" s="2">
        <v>3.52</v>
      </c>
    </row>
    <row r="124" spans="1:1">
      <c r="A124" s="2">
        <v>3.52</v>
      </c>
    </row>
    <row r="125" spans="1:1">
      <c r="A125" s="2">
        <v>3.52</v>
      </c>
    </row>
    <row r="126" spans="1:1">
      <c r="A126" s="2">
        <v>3.76</v>
      </c>
    </row>
    <row r="127" spans="1:1">
      <c r="A127" s="2">
        <v>3.66</v>
      </c>
    </row>
    <row r="128" spans="1:1">
      <c r="A128" s="2">
        <v>3.55</v>
      </c>
    </row>
    <row r="129" spans="1:1">
      <c r="A129" s="2">
        <v>3.57</v>
      </c>
    </row>
    <row r="130" spans="1:1">
      <c r="A130" s="2">
        <v>3.59</v>
      </c>
    </row>
    <row r="131" spans="1:1">
      <c r="A131" s="2">
        <v>3.52</v>
      </c>
    </row>
    <row r="132" spans="1:1">
      <c r="A132" s="2">
        <v>3.52</v>
      </c>
    </row>
    <row r="133" spans="1:1">
      <c r="A133" s="2">
        <v>3.57</v>
      </c>
    </row>
    <row r="134" spans="1:1">
      <c r="A134" s="2">
        <v>3.54</v>
      </c>
    </row>
    <row r="135" spans="1:1">
      <c r="A135" s="2">
        <v>3.77</v>
      </c>
    </row>
    <row r="136" spans="1:1">
      <c r="A136" s="2">
        <v>3.47</v>
      </c>
    </row>
    <row r="137" spans="1:1">
      <c r="A137" s="2">
        <v>3.41</v>
      </c>
    </row>
    <row r="138" spans="1:1">
      <c r="A138" s="2">
        <v>3.51</v>
      </c>
    </row>
    <row r="139" spans="1:1">
      <c r="A139" s="2">
        <v>3.68</v>
      </c>
    </row>
    <row r="140" spans="1:1">
      <c r="A140" s="2">
        <v>3.52</v>
      </c>
    </row>
    <row r="141" spans="1:1">
      <c r="A141" s="2">
        <v>3.77</v>
      </c>
    </row>
    <row r="142" spans="1:1">
      <c r="A142" s="2">
        <v>3.48</v>
      </c>
    </row>
    <row r="143" spans="1:1">
      <c r="A143" s="2">
        <v>3.51</v>
      </c>
    </row>
    <row r="144" spans="1:1">
      <c r="A144" s="2">
        <v>3.52</v>
      </c>
    </row>
    <row r="145" spans="1:1">
      <c r="A145" s="2">
        <v>3.67</v>
      </c>
    </row>
    <row r="146" spans="1:1">
      <c r="A146" s="2">
        <v>3.52</v>
      </c>
    </row>
    <row r="147" spans="1:1">
      <c r="A147" s="2">
        <v>3.52</v>
      </c>
    </row>
    <row r="148" spans="1:1">
      <c r="A148" s="2">
        <v>3.73</v>
      </c>
    </row>
    <row r="149" spans="1:1">
      <c r="A149" s="2">
        <v>3.52</v>
      </c>
    </row>
    <row r="150" spans="1:1">
      <c r="A150" s="2">
        <v>3.52</v>
      </c>
    </row>
    <row r="151" spans="1:1">
      <c r="A151" s="2">
        <v>3.44</v>
      </c>
    </row>
    <row r="152" spans="1:1">
      <c r="A152" s="2">
        <v>3.51</v>
      </c>
    </row>
    <row r="153" spans="1:1">
      <c r="A153" s="2">
        <v>3.49</v>
      </c>
    </row>
    <row r="154" spans="1:1">
      <c r="A154" s="2">
        <v>3.52</v>
      </c>
    </row>
    <row r="155" spans="1:1">
      <c r="A155" s="2">
        <v>3.52</v>
      </c>
    </row>
    <row r="156" spans="1:1">
      <c r="A156" s="2">
        <v>3.76</v>
      </c>
    </row>
    <row r="157" spans="1:1">
      <c r="A157" s="2">
        <v>3.51</v>
      </c>
    </row>
    <row r="158" spans="1:1">
      <c r="A158" s="2">
        <v>3.52</v>
      </c>
    </row>
    <row r="159" spans="1:1">
      <c r="A159" s="2">
        <v>3.52</v>
      </c>
    </row>
    <row r="160" spans="1:1">
      <c r="A160" s="2">
        <v>3.78</v>
      </c>
    </row>
    <row r="161" spans="1:1">
      <c r="A161" s="2">
        <v>3.51</v>
      </c>
    </row>
    <row r="162" spans="1:1">
      <c r="A162" s="2">
        <v>3.43</v>
      </c>
    </row>
    <row r="163" spans="1:1">
      <c r="A163" s="2">
        <v>3.52</v>
      </c>
    </row>
    <row r="164" spans="1:1">
      <c r="A164" s="2">
        <v>3.52</v>
      </c>
    </row>
    <row r="165" spans="1:1">
      <c r="A165" s="2">
        <v>3.75</v>
      </c>
    </row>
    <row r="166" spans="1:1">
      <c r="A166" s="2">
        <v>3.78</v>
      </c>
    </row>
    <row r="167" spans="1:1">
      <c r="A167" s="2">
        <v>3.43</v>
      </c>
    </row>
    <row r="168" spans="1:1">
      <c r="A168" s="2">
        <v>3.58</v>
      </c>
    </row>
    <row r="169" spans="1:1">
      <c r="A169" s="2">
        <v>3.74</v>
      </c>
    </row>
    <row r="170" spans="1:1">
      <c r="A170" s="2">
        <v>3.59</v>
      </c>
    </row>
    <row r="171" spans="1:1">
      <c r="A171" s="2">
        <v>3.52</v>
      </c>
    </row>
    <row r="172" spans="1:1">
      <c r="A172" s="2">
        <v>3.71</v>
      </c>
    </row>
    <row r="173" spans="1:1">
      <c r="A173" s="2">
        <v>3.41</v>
      </c>
    </row>
    <row r="174" spans="1:1">
      <c r="A174" s="2">
        <v>3.52</v>
      </c>
    </row>
    <row r="175" spans="1:1">
      <c r="A175" s="2">
        <v>3.5</v>
      </c>
    </row>
    <row r="176" spans="1:1">
      <c r="A176" s="2">
        <v>3.65</v>
      </c>
    </row>
    <row r="177" spans="1:1">
      <c r="A177" s="2">
        <v>3.57</v>
      </c>
    </row>
    <row r="178" spans="1:1">
      <c r="A178" s="2">
        <v>3.52</v>
      </c>
    </row>
    <row r="179" spans="1:1">
      <c r="A179" s="2">
        <v>3.48</v>
      </c>
    </row>
    <row r="180" spans="1:1">
      <c r="A180" s="2">
        <v>3.52</v>
      </c>
    </row>
    <row r="181" spans="1:1">
      <c r="A181" s="2">
        <v>3.52</v>
      </c>
    </row>
    <row r="182" spans="1:1">
      <c r="A182" s="2">
        <v>3.53</v>
      </c>
    </row>
    <row r="183" spans="1:1">
      <c r="A183" s="2">
        <v>3.74</v>
      </c>
    </row>
    <row r="184" spans="1:1">
      <c r="A184" s="2">
        <v>3.5</v>
      </c>
    </row>
    <row r="185" spans="1:1">
      <c r="A185" s="2">
        <v>3.52</v>
      </c>
    </row>
    <row r="186" spans="1:1">
      <c r="A186" s="2">
        <v>3.48</v>
      </c>
    </row>
    <row r="187" spans="1:1">
      <c r="A187" s="2">
        <v>3.54</v>
      </c>
    </row>
    <row r="188" spans="1:1">
      <c r="A188" s="2">
        <v>3.49</v>
      </c>
    </row>
    <row r="189" spans="1:1">
      <c r="A189" s="2">
        <v>3.52</v>
      </c>
    </row>
    <row r="190" spans="1:1">
      <c r="A190" s="2">
        <v>3.52</v>
      </c>
    </row>
    <row r="191" spans="1:1">
      <c r="A191" s="2">
        <v>3.52</v>
      </c>
    </row>
    <row r="192" spans="1:1">
      <c r="A192" s="2">
        <v>3.52</v>
      </c>
    </row>
    <row r="193" spans="1:1">
      <c r="A193" s="2">
        <v>3.63</v>
      </c>
    </row>
    <row r="194" spans="1:1">
      <c r="A194" s="2">
        <v>3.52</v>
      </c>
    </row>
    <row r="195" spans="1:1">
      <c r="A195" s="2">
        <v>3.52</v>
      </c>
    </row>
    <row r="196" spans="1:1">
      <c r="A196" s="2">
        <v>3.52</v>
      </c>
    </row>
    <row r="197" spans="1:1">
      <c r="A197" s="2">
        <v>3.59</v>
      </c>
    </row>
    <row r="198" spans="1:1">
      <c r="A198" s="2">
        <v>3.51</v>
      </c>
    </row>
    <row r="199" spans="1:1">
      <c r="A199" s="2">
        <v>3.52</v>
      </c>
    </row>
    <row r="200" spans="1:1">
      <c r="A200" s="2">
        <v>3.7</v>
      </c>
    </row>
    <row r="201" spans="1:1">
      <c r="A201" s="2">
        <v>3.63</v>
      </c>
    </row>
    <row r="202" spans="1:1">
      <c r="A202" s="2">
        <v>3.52</v>
      </c>
    </row>
    <row r="203" spans="1:1">
      <c r="A203" s="2">
        <v>3.52</v>
      </c>
    </row>
    <row r="204" spans="1:1">
      <c r="A204" s="2">
        <v>3.52</v>
      </c>
    </row>
    <row r="205" spans="1:1">
      <c r="A205" s="2">
        <v>3.78</v>
      </c>
    </row>
    <row r="206" spans="1:1">
      <c r="A206" s="2">
        <v>3.72</v>
      </c>
    </row>
    <row r="207" spans="1:1">
      <c r="A207" s="2">
        <v>3.52</v>
      </c>
    </row>
    <row r="208" spans="1:1">
      <c r="A208" s="2">
        <v>3.58</v>
      </c>
    </row>
    <row r="209" spans="1:1">
      <c r="A209" s="2">
        <v>3.52</v>
      </c>
    </row>
    <row r="210" spans="1:1">
      <c r="A210" s="2">
        <v>3.52</v>
      </c>
    </row>
    <row r="211" spans="1:1">
      <c r="A211" s="2">
        <v>3.52</v>
      </c>
    </row>
    <row r="212" spans="1:1">
      <c r="A212" s="2">
        <v>3.41</v>
      </c>
    </row>
    <row r="213" spans="1:1">
      <c r="A213" s="2">
        <v>3.46</v>
      </c>
    </row>
    <row r="214" spans="1:1">
      <c r="A214" s="2">
        <v>3.46</v>
      </c>
    </row>
    <row r="215" spans="1:1">
      <c r="A215" s="2">
        <v>3.78</v>
      </c>
    </row>
    <row r="216" spans="1:1">
      <c r="A216" s="2">
        <v>3.77</v>
      </c>
    </row>
    <row r="217" spans="1:1">
      <c r="A217" s="2">
        <v>3.58</v>
      </c>
    </row>
    <row r="218" spans="1:1">
      <c r="A218" s="2">
        <v>3.52</v>
      </c>
    </row>
    <row r="219" spans="1:1">
      <c r="A219" s="2">
        <v>3.45</v>
      </c>
    </row>
    <row r="220" spans="1:1">
      <c r="A220" s="2">
        <v>3.5</v>
      </c>
    </row>
    <row r="221" spans="1:1">
      <c r="A221" s="2">
        <v>3.52</v>
      </c>
    </row>
    <row r="222" spans="1:1">
      <c r="A222" s="2">
        <v>3.42</v>
      </c>
    </row>
    <row r="223" spans="1:1">
      <c r="A223" s="2">
        <v>3.48</v>
      </c>
    </row>
    <row r="224" spans="1:1">
      <c r="A224" s="2">
        <v>3.53</v>
      </c>
    </row>
    <row r="225" spans="1:1">
      <c r="A225" s="2">
        <v>3.52</v>
      </c>
    </row>
    <row r="226" spans="1:1">
      <c r="A226" s="2">
        <v>3.54</v>
      </c>
    </row>
    <row r="227" spans="1:1">
      <c r="A227" s="2">
        <v>3.52</v>
      </c>
    </row>
    <row r="228" spans="1:1">
      <c r="A228" s="2">
        <v>3.52</v>
      </c>
    </row>
    <row r="229" spans="1:1">
      <c r="A229" s="2">
        <v>3.78</v>
      </c>
    </row>
    <row r="230" spans="1:1">
      <c r="A230" s="2">
        <v>3.49</v>
      </c>
    </row>
    <row r="231" spans="1:1">
      <c r="A231" s="2">
        <v>3.52</v>
      </c>
    </row>
    <row r="232" spans="1:1">
      <c r="A232" s="2">
        <v>3.52</v>
      </c>
    </row>
    <row r="233" spans="1:1">
      <c r="A233" s="2">
        <v>3.52</v>
      </c>
    </row>
    <row r="234" spans="1:1">
      <c r="A234" s="2">
        <v>3.78</v>
      </c>
    </row>
    <row r="235" spans="1:1">
      <c r="A235" s="2">
        <v>3.59</v>
      </c>
    </row>
    <row r="236" spans="1:1">
      <c r="A236" s="2">
        <v>3.78</v>
      </c>
    </row>
    <row r="237" spans="1:1">
      <c r="A237" s="2">
        <v>3.52</v>
      </c>
    </row>
    <row r="238" spans="1:1">
      <c r="A238" s="2">
        <v>3.52</v>
      </c>
    </row>
    <row r="239" spans="1:1">
      <c r="A239" s="2">
        <v>3.48</v>
      </c>
    </row>
    <row r="240" spans="1:1">
      <c r="A240" s="2">
        <v>3.67</v>
      </c>
    </row>
    <row r="241" spans="1:1">
      <c r="A241" s="2">
        <v>3.71</v>
      </c>
    </row>
    <row r="242" spans="1:1">
      <c r="A242" s="2">
        <v>3.52</v>
      </c>
    </row>
    <row r="243" spans="1:1">
      <c r="A243" s="2">
        <v>3.52</v>
      </c>
    </row>
    <row r="244" spans="1:1">
      <c r="A244" s="2">
        <v>3.8</v>
      </c>
    </row>
    <row r="245" spans="1:1">
      <c r="A245" s="2">
        <v>3.52</v>
      </c>
    </row>
    <row r="246" spans="1:1">
      <c r="A246" s="2">
        <v>3.6</v>
      </c>
    </row>
    <row r="247" spans="1:1">
      <c r="A247" s="2">
        <v>3.52</v>
      </c>
    </row>
    <row r="248" spans="1:1">
      <c r="A248" s="2">
        <v>3.52</v>
      </c>
    </row>
    <row r="249" spans="1:1">
      <c r="A249" s="2">
        <v>3.73</v>
      </c>
    </row>
    <row r="250" spans="1:1">
      <c r="A250" s="2">
        <v>3.56</v>
      </c>
    </row>
    <row r="251" spans="1:1">
      <c r="A251" s="2">
        <v>3.51</v>
      </c>
    </row>
    <row r="252" spans="1:1">
      <c r="A252" s="2">
        <v>3.77</v>
      </c>
    </row>
    <row r="253" spans="1:1">
      <c r="A253" s="2">
        <v>3.78</v>
      </c>
    </row>
    <row r="254" spans="1:1">
      <c r="A254" s="2">
        <v>3.69</v>
      </c>
    </row>
    <row r="255" spans="1:1">
      <c r="A255" s="2">
        <v>3.52</v>
      </c>
    </row>
    <row r="256" spans="1:1">
      <c r="A256" s="2">
        <v>3.51</v>
      </c>
    </row>
    <row r="257" spans="1:1">
      <c r="A257" s="2">
        <v>3.79</v>
      </c>
    </row>
    <row r="258" spans="1:1">
      <c r="A258" s="2">
        <v>3.52</v>
      </c>
    </row>
    <row r="259" spans="1:1">
      <c r="A259" s="2">
        <v>3.52</v>
      </c>
    </row>
    <row r="260" spans="1:1">
      <c r="A260" s="2">
        <v>3.52</v>
      </c>
    </row>
    <row r="261" spans="1:1">
      <c r="A261" s="2">
        <v>3.53</v>
      </c>
    </row>
    <row r="262" spans="1:1">
      <c r="A262" s="2">
        <v>3.52</v>
      </c>
    </row>
    <row r="263" spans="1:1">
      <c r="A263" s="2">
        <v>3.52</v>
      </c>
    </row>
    <row r="264" spans="1:1">
      <c r="A264" s="2">
        <v>3.52</v>
      </c>
    </row>
    <row r="265" spans="1:1">
      <c r="A265" s="2">
        <v>3.52</v>
      </c>
    </row>
    <row r="266" spans="1:1">
      <c r="A266" s="2">
        <v>3.7</v>
      </c>
    </row>
    <row r="267" spans="1:1">
      <c r="A267" s="2">
        <v>3.48</v>
      </c>
    </row>
    <row r="268" spans="1:1">
      <c r="A268" s="2">
        <v>3.71</v>
      </c>
    </row>
    <row r="269" spans="1:1">
      <c r="A269" s="2">
        <v>3.52</v>
      </c>
    </row>
    <row r="270" spans="1:1">
      <c r="A270" s="2">
        <v>3.47</v>
      </c>
    </row>
    <row r="271" spans="1:1">
      <c r="A271" s="2">
        <v>3.78</v>
      </c>
    </row>
    <row r="272" spans="1:1">
      <c r="A272" s="2">
        <v>3.52</v>
      </c>
    </row>
    <row r="273" spans="1:1">
      <c r="A273" s="2">
        <v>3.52</v>
      </c>
    </row>
    <row r="274" spans="1:1">
      <c r="A274" s="2">
        <v>3.54</v>
      </c>
    </row>
    <row r="275" spans="1:1">
      <c r="A275" s="2">
        <v>3.8</v>
      </c>
    </row>
    <row r="276" spans="1:1">
      <c r="A276" s="2">
        <v>3.51</v>
      </c>
    </row>
    <row r="277" spans="1:1">
      <c r="A277" s="2">
        <v>3.52</v>
      </c>
    </row>
    <row r="278" spans="1:1">
      <c r="A278" s="2">
        <v>3.51</v>
      </c>
    </row>
    <row r="279" spans="1:1">
      <c r="A279" s="2">
        <v>3.57</v>
      </c>
    </row>
    <row r="280" spans="1:1">
      <c r="A280" s="2">
        <v>3.52</v>
      </c>
    </row>
    <row r="281" spans="1:1">
      <c r="A281" s="2">
        <v>3.52</v>
      </c>
    </row>
    <row r="282" spans="1:1">
      <c r="A282" s="2">
        <v>3.52</v>
      </c>
    </row>
    <row r="283" spans="1:1">
      <c r="A283" s="2">
        <v>3.52</v>
      </c>
    </row>
    <row r="284" spans="1:1">
      <c r="A284" s="2">
        <v>3.6</v>
      </c>
    </row>
    <row r="285" spans="1:1">
      <c r="A285" s="2">
        <v>3.52</v>
      </c>
    </row>
    <row r="286" spans="1:1">
      <c r="A286" s="2">
        <v>3.52</v>
      </c>
    </row>
    <row r="287" spans="1:1">
      <c r="A287" s="2">
        <v>3.52</v>
      </c>
    </row>
    <row r="288" spans="1:1">
      <c r="A288" s="2">
        <v>3.49</v>
      </c>
    </row>
    <row r="289" spans="1:1">
      <c r="A289" s="2">
        <v>3.78</v>
      </c>
    </row>
    <row r="290" spans="1:1">
      <c r="A290" s="2">
        <v>3.52</v>
      </c>
    </row>
    <row r="291" spans="1:1">
      <c r="A291" s="2">
        <v>3.52</v>
      </c>
    </row>
    <row r="292" spans="1:1">
      <c r="A292" s="2">
        <v>3.67</v>
      </c>
    </row>
    <row r="293" spans="1:1">
      <c r="A293" s="2">
        <v>3.52</v>
      </c>
    </row>
    <row r="294" spans="1:1">
      <c r="A294" s="2">
        <v>3.48</v>
      </c>
    </row>
    <row r="295" spans="1:1">
      <c r="A295" s="2">
        <v>3.52</v>
      </c>
    </row>
    <row r="296" spans="1:1">
      <c r="A296" s="2">
        <v>3.41</v>
      </c>
    </row>
    <row r="297" spans="1:1">
      <c r="A297" s="2">
        <v>3.67</v>
      </c>
    </row>
    <row r="298" spans="1:1">
      <c r="A298" s="2">
        <v>3.49</v>
      </c>
    </row>
    <row r="299" spans="1:1">
      <c r="A299" s="2">
        <v>3.67</v>
      </c>
    </row>
    <row r="300" spans="1:1">
      <c r="A300" s="2">
        <v>3.77</v>
      </c>
    </row>
    <row r="301" spans="1:1">
      <c r="A301" s="2">
        <v>3.76</v>
      </c>
    </row>
    <row r="302" spans="1:1">
      <c r="A302" s="2">
        <v>3.52</v>
      </c>
    </row>
    <row r="303" spans="1:1">
      <c r="A303" s="2">
        <v>3.64</v>
      </c>
    </row>
    <row r="304" spans="1:1">
      <c r="A304" s="2">
        <v>3.52</v>
      </c>
    </row>
    <row r="305" spans="1:1">
      <c r="A305" s="2">
        <v>3.58</v>
      </c>
    </row>
    <row r="306" spans="1:1">
      <c r="A306" s="2">
        <v>3.77</v>
      </c>
    </row>
    <row r="307" spans="1:1">
      <c r="A307" s="2">
        <v>3.43</v>
      </c>
    </row>
    <row r="308" spans="1:1">
      <c r="A308" s="2">
        <v>3.76</v>
      </c>
    </row>
    <row r="309" spans="1:1">
      <c r="A309" s="2">
        <v>3.57</v>
      </c>
    </row>
    <row r="310" spans="1:1">
      <c r="A310" s="2">
        <v>3.56</v>
      </c>
    </row>
    <row r="311" spans="1:1">
      <c r="A311" s="2">
        <v>3.74</v>
      </c>
    </row>
    <row r="312" spans="1:1">
      <c r="A312" s="2">
        <v>3.52</v>
      </c>
    </row>
    <row r="313" spans="1:1">
      <c r="A313" s="2">
        <v>3.51</v>
      </c>
    </row>
    <row r="314" spans="1:1">
      <c r="A314" s="2">
        <v>3.52</v>
      </c>
    </row>
    <row r="315" spans="1:1">
      <c r="A315" s="2">
        <v>3.63</v>
      </c>
    </row>
    <row r="316" spans="1:1">
      <c r="A316" s="2">
        <v>3.46</v>
      </c>
    </row>
    <row r="317" spans="1:1">
      <c r="A317" s="2">
        <v>3.52</v>
      </c>
    </row>
    <row r="318" spans="1:1">
      <c r="A318" s="2">
        <v>3.52</v>
      </c>
    </row>
    <row r="319" spans="1:1">
      <c r="A319" s="2">
        <v>3.52</v>
      </c>
    </row>
    <row r="320" spans="1:1">
      <c r="A320" s="2">
        <v>3.8</v>
      </c>
    </row>
    <row r="321" spans="1:1">
      <c r="A321" s="2">
        <v>3.7</v>
      </c>
    </row>
    <row r="322" spans="1:1">
      <c r="A322" s="2">
        <v>3.52</v>
      </c>
    </row>
    <row r="323" spans="1:1">
      <c r="A323" s="2">
        <v>3.62</v>
      </c>
    </row>
    <row r="324" spans="1:1">
      <c r="A324" s="2">
        <v>3.61</v>
      </c>
    </row>
    <row r="325" spans="1:1">
      <c r="A325" s="2">
        <v>3.41</v>
      </c>
    </row>
    <row r="326" spans="1:1">
      <c r="A326" s="2">
        <v>3.41</v>
      </c>
    </row>
    <row r="327" spans="1:1">
      <c r="A327" s="2">
        <v>3.52</v>
      </c>
    </row>
    <row r="328" spans="1:1">
      <c r="A328" s="2">
        <v>3.52</v>
      </c>
    </row>
    <row r="329" spans="1:1">
      <c r="A329" s="2">
        <v>3.52</v>
      </c>
    </row>
    <row r="330" spans="1:1">
      <c r="A330" s="2">
        <v>3.46</v>
      </c>
    </row>
    <row r="331" spans="1:1">
      <c r="A331" s="2">
        <v>3.59</v>
      </c>
    </row>
    <row r="332" spans="1:1">
      <c r="A332" s="2">
        <v>3.52</v>
      </c>
    </row>
    <row r="333" spans="1:1">
      <c r="A333" s="2">
        <v>3.52</v>
      </c>
    </row>
    <row r="334" spans="1:1">
      <c r="A334" s="2">
        <v>3.72</v>
      </c>
    </row>
    <row r="335" spans="1:1">
      <c r="A335" s="2">
        <v>3.69</v>
      </c>
    </row>
    <row r="336" spans="1:1">
      <c r="A336" s="2">
        <v>3.51</v>
      </c>
    </row>
    <row r="337" spans="1:1">
      <c r="A337" s="2">
        <v>3.65</v>
      </c>
    </row>
    <row r="338" spans="1:1">
      <c r="A338" s="2">
        <v>3.45</v>
      </c>
    </row>
    <row r="339" spans="1:1">
      <c r="A339" s="2">
        <v>3.51</v>
      </c>
    </row>
    <row r="340" spans="1:1">
      <c r="A340" s="2">
        <v>3.7</v>
      </c>
    </row>
    <row r="341" spans="1:1">
      <c r="A341" s="2">
        <v>3.79</v>
      </c>
    </row>
    <row r="342" spans="1:1">
      <c r="A342" s="2">
        <v>3.49</v>
      </c>
    </row>
    <row r="343" spans="1:1">
      <c r="A343" s="2">
        <v>3.52</v>
      </c>
    </row>
    <row r="344" spans="1:1">
      <c r="A344" s="2">
        <v>3.56</v>
      </c>
    </row>
    <row r="345" spans="1:1">
      <c r="A345" s="2">
        <v>3.78</v>
      </c>
    </row>
    <row r="346" spans="1:1">
      <c r="A346" s="2">
        <v>3.52</v>
      </c>
    </row>
    <row r="347" spans="1:1">
      <c r="A347" s="2">
        <v>3.51</v>
      </c>
    </row>
    <row r="348" spans="1:1">
      <c r="A348" s="2">
        <v>3.52</v>
      </c>
    </row>
    <row r="349" spans="1:1">
      <c r="A349" s="2">
        <v>3.44</v>
      </c>
    </row>
    <row r="350" spans="1:1">
      <c r="A350" s="2">
        <v>3.52</v>
      </c>
    </row>
    <row r="351" spans="1:1">
      <c r="A351" s="2">
        <v>3.52</v>
      </c>
    </row>
    <row r="352" spans="1:1">
      <c r="A352" s="2">
        <v>3.52</v>
      </c>
    </row>
    <row r="353" spans="1:1">
      <c r="A353" s="2">
        <v>3.52</v>
      </c>
    </row>
    <row r="354" spans="1:1">
      <c r="A354" s="2">
        <v>3.74</v>
      </c>
    </row>
    <row r="355" spans="1:1">
      <c r="A355" s="2">
        <v>3.52</v>
      </c>
    </row>
    <row r="356" spans="1:1">
      <c r="A356" s="2">
        <v>3.54</v>
      </c>
    </row>
    <row r="357" spans="1:1">
      <c r="A357" s="2">
        <v>3.62</v>
      </c>
    </row>
    <row r="358" spans="1:1">
      <c r="A358" s="2">
        <v>3.52</v>
      </c>
    </row>
    <row r="359" spans="1:1">
      <c r="A359" s="2">
        <v>3.79</v>
      </c>
    </row>
    <row r="360" spans="1:1">
      <c r="A360" s="2">
        <v>3.52</v>
      </c>
    </row>
    <row r="361" spans="1:1">
      <c r="A361" s="2">
        <v>3.52</v>
      </c>
    </row>
    <row r="362" spans="1:1">
      <c r="A362" s="2">
        <v>3.52</v>
      </c>
    </row>
    <row r="363" spans="1:1">
      <c r="A363" s="2">
        <v>3.52</v>
      </c>
    </row>
    <row r="364" spans="1:1">
      <c r="A364" s="2">
        <v>3.52</v>
      </c>
    </row>
    <row r="365" spans="1:1">
      <c r="A365" s="2">
        <v>3.51</v>
      </c>
    </row>
    <row r="366" spans="1:1">
      <c r="A366" s="2">
        <v>3.56</v>
      </c>
    </row>
    <row r="367" spans="1:1">
      <c r="A367" s="2">
        <v>3.62</v>
      </c>
    </row>
    <row r="368" spans="1:1">
      <c r="A368" s="2">
        <v>3.52</v>
      </c>
    </row>
    <row r="369" spans="1:1">
      <c r="A369" s="2">
        <v>3.52</v>
      </c>
    </row>
    <row r="370" spans="1:1">
      <c r="A370" s="2">
        <v>3.47</v>
      </c>
    </row>
    <row r="371" spans="1:1">
      <c r="A371" s="2">
        <v>3.78</v>
      </c>
    </row>
    <row r="372" spans="1:1">
      <c r="A372" s="2">
        <v>3.52</v>
      </c>
    </row>
    <row r="373" spans="1:1">
      <c r="A373" s="2">
        <v>3.5</v>
      </c>
    </row>
    <row r="374" spans="1:1">
      <c r="A374" s="2">
        <v>3.52</v>
      </c>
    </row>
    <row r="375" spans="1:1">
      <c r="A375" s="2">
        <v>3.63</v>
      </c>
    </row>
    <row r="376" spans="1:1">
      <c r="A376" s="2">
        <v>3.81</v>
      </c>
    </row>
    <row r="377" spans="1:1">
      <c r="A377" s="2">
        <v>3.69</v>
      </c>
    </row>
    <row r="378" spans="1:1">
      <c r="A378" s="2">
        <v>3.71</v>
      </c>
    </row>
    <row r="379" spans="1:1">
      <c r="A379" s="2">
        <v>3.52</v>
      </c>
    </row>
    <row r="380" spans="1:1">
      <c r="A380" s="2">
        <v>3.44</v>
      </c>
    </row>
    <row r="381" spans="1:1">
      <c r="A381" s="2">
        <v>3.75</v>
      </c>
    </row>
    <row r="382" spans="1:1">
      <c r="A382" s="2">
        <v>3.52</v>
      </c>
    </row>
    <row r="383" spans="1:1">
      <c r="A383" s="2">
        <v>3.76</v>
      </c>
    </row>
    <row r="384" spans="1:1">
      <c r="A384" s="2">
        <v>3.69</v>
      </c>
    </row>
    <row r="385" spans="1:1">
      <c r="A385" s="2">
        <v>3.52</v>
      </c>
    </row>
    <row r="386" spans="1:1">
      <c r="A386" s="2">
        <v>3.6</v>
      </c>
    </row>
    <row r="387" spans="1:1">
      <c r="A387" s="2">
        <v>3.71</v>
      </c>
    </row>
    <row r="388" spans="1:1">
      <c r="A388" s="2">
        <v>3.78</v>
      </c>
    </row>
    <row r="389" spans="1:1">
      <c r="A389" s="2">
        <v>3.55</v>
      </c>
    </row>
    <row r="390" spans="1:1">
      <c r="A390" s="2">
        <v>3.63</v>
      </c>
    </row>
    <row r="391" spans="1:1">
      <c r="A391" s="2">
        <v>3.52</v>
      </c>
    </row>
    <row r="392" spans="1:1">
      <c r="A392" s="2">
        <v>3.47</v>
      </c>
    </row>
    <row r="393" spans="1:1">
      <c r="A393" s="2">
        <v>3.51</v>
      </c>
    </row>
    <row r="394" spans="1:1">
      <c r="A394" s="2">
        <v>3.7</v>
      </c>
    </row>
    <row r="395" spans="1:1">
      <c r="A395" s="2">
        <v>3.55</v>
      </c>
    </row>
    <row r="396" spans="1:1">
      <c r="A396" s="2">
        <v>3.52</v>
      </c>
    </row>
    <row r="397" spans="1:1">
      <c r="A397" s="2">
        <v>3.52</v>
      </c>
    </row>
    <row r="398" spans="1:1">
      <c r="A398" s="2">
        <v>3.47</v>
      </c>
    </row>
    <row r="399" spans="1:1">
      <c r="A399" s="2">
        <v>3.77</v>
      </c>
    </row>
    <row r="400" spans="1:1">
      <c r="A400" s="2">
        <v>3.5</v>
      </c>
    </row>
    <row r="401" spans="1:1">
      <c r="A401" s="2">
        <v>3.66</v>
      </c>
    </row>
    <row r="402" spans="1:1">
      <c r="A402" s="2">
        <v>3.66</v>
      </c>
    </row>
    <row r="403" spans="1:1">
      <c r="A403" s="2">
        <v>3.52</v>
      </c>
    </row>
    <row r="404" spans="1:1">
      <c r="A404" s="2">
        <v>3.51</v>
      </c>
    </row>
    <row r="405" spans="1:1">
      <c r="A405" s="2">
        <v>3.52</v>
      </c>
    </row>
    <row r="406" spans="1:1">
      <c r="A406" s="2">
        <v>3.7</v>
      </c>
    </row>
    <row r="407" spans="1:1">
      <c r="A407" s="2">
        <v>3.52</v>
      </c>
    </row>
    <row r="408" spans="1:1">
      <c r="A408" s="2">
        <v>3.52</v>
      </c>
    </row>
    <row r="409" spans="1:1">
      <c r="A409" s="2">
        <v>3.68</v>
      </c>
    </row>
    <row r="410" spans="1:1">
      <c r="A410" s="2">
        <v>3.52</v>
      </c>
    </row>
    <row r="411" spans="1:1">
      <c r="A411" s="2">
        <v>3.52</v>
      </c>
    </row>
    <row r="412" spans="1:1">
      <c r="A412" s="2">
        <v>3.52</v>
      </c>
    </row>
    <row r="413" spans="1:1">
      <c r="A413" s="2">
        <v>3.55</v>
      </c>
    </row>
    <row r="414" spans="1:1">
      <c r="A414" s="2">
        <v>3.58</v>
      </c>
    </row>
    <row r="415" spans="1:1">
      <c r="A415" s="2">
        <v>3.52</v>
      </c>
    </row>
    <row r="416" spans="1:1">
      <c r="A416" s="2">
        <v>3.52</v>
      </c>
    </row>
    <row r="417" spans="1:1">
      <c r="A417" s="2">
        <v>3.52</v>
      </c>
    </row>
    <row r="418" spans="1:1">
      <c r="A418" s="2">
        <v>3.46</v>
      </c>
    </row>
    <row r="419" spans="1:1">
      <c r="A419" s="2">
        <v>3.75</v>
      </c>
    </row>
    <row r="420" spans="1:1">
      <c r="A420" s="2">
        <v>3.78</v>
      </c>
    </row>
    <row r="421" spans="1:1">
      <c r="A421" s="2">
        <v>3.53</v>
      </c>
    </row>
    <row r="422" spans="1:1">
      <c r="A422" s="2">
        <v>3.52</v>
      </c>
    </row>
    <row r="423" spans="1:1">
      <c r="A423" s="2">
        <v>3.52</v>
      </c>
    </row>
    <row r="424" spans="1:1">
      <c r="A424" s="2">
        <v>3.57</v>
      </c>
    </row>
    <row r="425" spans="1:1">
      <c r="A425" s="2">
        <v>3.45</v>
      </c>
    </row>
    <row r="426" spans="1:1">
      <c r="A426" s="2">
        <v>3.52</v>
      </c>
    </row>
    <row r="427" spans="1:1">
      <c r="A427" s="2">
        <v>3.51</v>
      </c>
    </row>
    <row r="428" spans="1:1">
      <c r="A428" s="2">
        <v>3.52</v>
      </c>
    </row>
    <row r="429" spans="1:1">
      <c r="A429" s="2">
        <v>3.78</v>
      </c>
    </row>
    <row r="430" spans="1:1">
      <c r="A430" s="2">
        <v>3.65</v>
      </c>
    </row>
    <row r="431" spans="1:1">
      <c r="A431" s="2">
        <v>3.78</v>
      </c>
    </row>
    <row r="432" spans="1:1">
      <c r="A432" s="2">
        <v>3.65</v>
      </c>
    </row>
    <row r="433" spans="1:1">
      <c r="A433" s="2">
        <v>3.63</v>
      </c>
    </row>
    <row r="434" spans="1:1">
      <c r="A434" s="2">
        <v>3.6</v>
      </c>
    </row>
    <row r="435" spans="1:1">
      <c r="A435" s="2">
        <v>3.52</v>
      </c>
    </row>
    <row r="436" spans="1:1">
      <c r="A436" s="2">
        <v>3.43</v>
      </c>
    </row>
    <row r="437" spans="1:1">
      <c r="A437" s="2">
        <v>3.48</v>
      </c>
    </row>
    <row r="438" spans="1:1">
      <c r="A438" s="2">
        <v>3.52</v>
      </c>
    </row>
    <row r="439" spans="1:1">
      <c r="A439" s="2">
        <v>3.52</v>
      </c>
    </row>
    <row r="440" spans="1:1">
      <c r="A440" s="2">
        <v>3.52</v>
      </c>
    </row>
    <row r="441" spans="1:1">
      <c r="A441" s="2">
        <v>3.74</v>
      </c>
    </row>
    <row r="442" spans="1:1">
      <c r="A442" s="2">
        <v>3.52</v>
      </c>
    </row>
    <row r="443" spans="1:1">
      <c r="A443" s="2">
        <v>3.67</v>
      </c>
    </row>
    <row r="444" spans="1:1">
      <c r="A444" s="2">
        <v>3.48</v>
      </c>
    </row>
    <row r="445" spans="1:1">
      <c r="A445" s="2">
        <v>3.78</v>
      </c>
    </row>
    <row r="446" spans="1:1">
      <c r="A446" s="2">
        <v>3.52</v>
      </c>
    </row>
    <row r="447" spans="1:1">
      <c r="A447" s="2">
        <v>3.52</v>
      </c>
    </row>
    <row r="448" spans="1:1">
      <c r="A448" s="2">
        <v>3.52</v>
      </c>
    </row>
    <row r="449" spans="1:1">
      <c r="A449" s="2">
        <v>3.7</v>
      </c>
    </row>
    <row r="450" spans="1:1">
      <c r="A450" s="2">
        <v>3.55</v>
      </c>
    </row>
    <row r="451" spans="1:1">
      <c r="A451" s="2">
        <v>3.79</v>
      </c>
    </row>
    <row r="452" spans="1:1">
      <c r="A452" s="2">
        <v>3.75</v>
      </c>
    </row>
    <row r="453" spans="1:1">
      <c r="A453" s="2">
        <v>3.7</v>
      </c>
    </row>
    <row r="454" spans="1:1">
      <c r="A454" s="2">
        <v>3.52</v>
      </c>
    </row>
    <row r="455" spans="1:1">
      <c r="A455" s="2">
        <v>3.41</v>
      </c>
    </row>
    <row r="456" spans="1:1">
      <c r="A456" s="2">
        <v>3.5</v>
      </c>
    </row>
    <row r="457" spans="1:1">
      <c r="A457" s="2">
        <v>3.52</v>
      </c>
    </row>
    <row r="458" spans="1:1">
      <c r="A458" s="2">
        <v>3.61</v>
      </c>
    </row>
    <row r="459" spans="1:1">
      <c r="A459" s="2">
        <v>3.6</v>
      </c>
    </row>
    <row r="460" spans="1:1">
      <c r="A460" s="2">
        <v>3.53</v>
      </c>
    </row>
    <row r="461" spans="1:1">
      <c r="A461" s="2">
        <v>3.56</v>
      </c>
    </row>
    <row r="462" spans="1:1">
      <c r="A462" s="2">
        <v>3.58</v>
      </c>
    </row>
    <row r="463" spans="1:1">
      <c r="A463" s="2">
        <v>3.78</v>
      </c>
    </row>
    <row r="464" spans="1:1">
      <c r="A464" s="2">
        <v>3.61</v>
      </c>
    </row>
    <row r="465" spans="1:1">
      <c r="A465" s="2">
        <v>3.52</v>
      </c>
    </row>
    <row r="466" spans="1:1">
      <c r="A466" s="2">
        <v>3.46</v>
      </c>
    </row>
    <row r="467" spans="1:1">
      <c r="A467" s="2">
        <v>3.52</v>
      </c>
    </row>
    <row r="468" spans="1:1">
      <c r="A468" s="2">
        <v>3.78</v>
      </c>
    </row>
    <row r="469" spans="1:1">
      <c r="A469" s="2">
        <v>3.6</v>
      </c>
    </row>
    <row r="470" spans="1:1">
      <c r="A470" s="2">
        <v>3.51</v>
      </c>
    </row>
    <row r="471" spans="1:1">
      <c r="A471" s="2">
        <v>3.78</v>
      </c>
    </row>
    <row r="472" spans="1:1">
      <c r="A472" s="2">
        <v>3.76</v>
      </c>
    </row>
    <row r="473" spans="1:1">
      <c r="A473" s="2">
        <v>3.52</v>
      </c>
    </row>
    <row r="474" spans="1:1">
      <c r="A474" s="2">
        <v>3.75</v>
      </c>
    </row>
    <row r="475" spans="1:1">
      <c r="A475" s="2">
        <v>3.52</v>
      </c>
    </row>
    <row r="476" spans="1:1">
      <c r="A476" s="2">
        <v>3.78</v>
      </c>
    </row>
    <row r="477" spans="1:1">
      <c r="A477" s="2">
        <v>3.5</v>
      </c>
    </row>
    <row r="478" spans="1:1">
      <c r="A478" s="2">
        <v>3.57</v>
      </c>
    </row>
    <row r="479" spans="1:1">
      <c r="A479" s="2">
        <v>3.52</v>
      </c>
    </row>
    <row r="480" spans="1:1">
      <c r="A480" s="2">
        <v>3.52</v>
      </c>
    </row>
    <row r="481" spans="1:1">
      <c r="A481" s="2">
        <v>3.52</v>
      </c>
    </row>
    <row r="482" spans="1:1">
      <c r="A482" s="2">
        <v>3.47</v>
      </c>
    </row>
    <row r="483" spans="1:1">
      <c r="A483" s="2">
        <v>3.44</v>
      </c>
    </row>
    <row r="484" spans="1:1">
      <c r="A484" s="2">
        <v>3.52</v>
      </c>
    </row>
    <row r="485" spans="1:1">
      <c r="A485" s="2">
        <v>3.52</v>
      </c>
    </row>
    <row r="486" spans="1:1">
      <c r="A486" s="2">
        <v>3.78</v>
      </c>
    </row>
    <row r="487" spans="1:1">
      <c r="A487" s="2">
        <v>3.68</v>
      </c>
    </row>
    <row r="488" spans="1:1">
      <c r="A488" s="2">
        <v>3.54</v>
      </c>
    </row>
    <row r="489" spans="1:1">
      <c r="A489" s="2">
        <v>3.48</v>
      </c>
    </row>
    <row r="490" spans="1:1">
      <c r="A490" s="2">
        <v>3.78</v>
      </c>
    </row>
    <row r="491" spans="1:1">
      <c r="A491" s="2">
        <v>3.52</v>
      </c>
    </row>
    <row r="492" spans="1:1">
      <c r="A492" s="2">
        <v>3.61</v>
      </c>
    </row>
    <row r="493" spans="1:1">
      <c r="A493" s="2">
        <v>3.72</v>
      </c>
    </row>
    <row r="494" spans="1:1">
      <c r="A494" s="2">
        <v>3.48</v>
      </c>
    </row>
    <row r="495" spans="1:1">
      <c r="A495" s="2">
        <v>3.72</v>
      </c>
    </row>
    <row r="496" spans="1:1">
      <c r="A496" s="2">
        <v>3.52</v>
      </c>
    </row>
    <row r="497" spans="1:1">
      <c r="A497" s="2">
        <v>3.68</v>
      </c>
    </row>
    <row r="498" spans="1:1">
      <c r="A498" s="2">
        <v>3.52</v>
      </c>
    </row>
    <row r="499" spans="1:1">
      <c r="A499" s="2">
        <v>3.77</v>
      </c>
    </row>
    <row r="500" spans="1:1">
      <c r="A500" s="2">
        <v>3.52</v>
      </c>
    </row>
    <row r="501" spans="1:1">
      <c r="A501" s="2">
        <v>3.52</v>
      </c>
    </row>
    <row r="502" spans="1:1">
      <c r="A502" s="2">
        <v>3.51</v>
      </c>
    </row>
    <row r="503" spans="1:1">
      <c r="A503" s="2">
        <v>3.67</v>
      </c>
    </row>
    <row r="504" spans="1:1">
      <c r="A504" s="2">
        <v>3.52</v>
      </c>
    </row>
    <row r="505" spans="1:1">
      <c r="A505" s="2">
        <v>3.52</v>
      </c>
    </row>
    <row r="506" spans="1:1">
      <c r="A506" s="2">
        <v>3.52</v>
      </c>
    </row>
    <row r="507" spans="1:1">
      <c r="A507" s="2">
        <v>3.59</v>
      </c>
    </row>
    <row r="508" spans="1:1">
      <c r="A508" s="2">
        <v>3.52</v>
      </c>
    </row>
    <row r="509" spans="1:1">
      <c r="A509" s="2">
        <v>3.52</v>
      </c>
    </row>
    <row r="510" spans="1:1">
      <c r="A510" s="2">
        <v>3.52</v>
      </c>
    </row>
    <row r="511" spans="1:1">
      <c r="A511" s="2">
        <v>3.52</v>
      </c>
    </row>
    <row r="512" spans="1:1">
      <c r="A512" s="2">
        <v>3.52</v>
      </c>
    </row>
    <row r="513" spans="1:1">
      <c r="A513" s="2">
        <v>3.52</v>
      </c>
    </row>
    <row r="514" spans="1:1">
      <c r="A514" s="2">
        <v>3.77</v>
      </c>
    </row>
    <row r="515" spans="1:1">
      <c r="A515" s="2">
        <v>3.59</v>
      </c>
    </row>
    <row r="516" spans="1:1">
      <c r="A516" s="2">
        <v>3.44</v>
      </c>
    </row>
    <row r="517" spans="1:1">
      <c r="A517" s="2">
        <v>3.61</v>
      </c>
    </row>
    <row r="518" spans="1:1">
      <c r="A518" s="2">
        <v>3.66</v>
      </c>
    </row>
    <row r="519" spans="1:1">
      <c r="A519" s="2">
        <v>3.66</v>
      </c>
    </row>
    <row r="520" spans="1:1">
      <c r="A520" s="2">
        <v>3.53</v>
      </c>
    </row>
    <row r="521" spans="1:1">
      <c r="A521" s="2">
        <v>3.73</v>
      </c>
    </row>
    <row r="522" spans="1:1">
      <c r="A522" s="2">
        <v>3.72</v>
      </c>
    </row>
    <row r="523" spans="1:1">
      <c r="A523" s="2">
        <v>3.55</v>
      </c>
    </row>
    <row r="524" spans="1:1">
      <c r="A524" s="2">
        <v>3.67</v>
      </c>
    </row>
    <row r="525" spans="1:1">
      <c r="A525" s="2">
        <v>3.78</v>
      </c>
    </row>
    <row r="526" spans="1:1">
      <c r="A526" s="2">
        <v>3.77</v>
      </c>
    </row>
    <row r="527" spans="1:1">
      <c r="A527" s="2">
        <v>3.52</v>
      </c>
    </row>
    <row r="528" spans="1:1">
      <c r="A528" s="2">
        <v>3.52</v>
      </c>
    </row>
    <row r="529" spans="1:1">
      <c r="A529" s="2">
        <v>3.52</v>
      </c>
    </row>
    <row r="530" spans="1:1">
      <c r="A530" s="2">
        <v>3.71</v>
      </c>
    </row>
    <row r="531" spans="1:1">
      <c r="A531" s="2">
        <v>3.52</v>
      </c>
    </row>
    <row r="532" spans="1:1">
      <c r="A532" s="2">
        <v>3.57</v>
      </c>
    </row>
    <row r="533" spans="1:1">
      <c r="A533" s="2">
        <v>3.52</v>
      </c>
    </row>
    <row r="534" spans="1:1">
      <c r="A534" s="2">
        <v>3.75</v>
      </c>
    </row>
    <row r="535" spans="1:1">
      <c r="A535" s="2">
        <v>3.57</v>
      </c>
    </row>
    <row r="536" spans="1:1">
      <c r="A536" s="2">
        <v>3.52</v>
      </c>
    </row>
    <row r="537" spans="1:1">
      <c r="A537" s="2">
        <v>3.65</v>
      </c>
    </row>
    <row r="538" spans="1:1">
      <c r="A538" s="2">
        <v>3.78</v>
      </c>
    </row>
    <row r="539" spans="1:1">
      <c r="A539" s="2">
        <v>3.52</v>
      </c>
    </row>
    <row r="540" spans="1:1">
      <c r="A540" s="2">
        <v>3.65</v>
      </c>
    </row>
    <row r="541" spans="1:1">
      <c r="A541" s="2">
        <v>3.72</v>
      </c>
    </row>
    <row r="542" spans="1:1">
      <c r="A542" s="2">
        <v>3.52</v>
      </c>
    </row>
    <row r="543" spans="1:1">
      <c r="A543" s="2">
        <v>3.43</v>
      </c>
    </row>
    <row r="544" spans="1:1">
      <c r="A544" s="2">
        <v>3.63</v>
      </c>
    </row>
    <row r="545" spans="1:1">
      <c r="A545" s="2">
        <v>3.52</v>
      </c>
    </row>
    <row r="546" spans="1:1">
      <c r="A546" s="2">
        <v>3.52</v>
      </c>
    </row>
    <row r="547" spans="1:1">
      <c r="A547" s="2">
        <v>3.76</v>
      </c>
    </row>
    <row r="548" spans="1:1">
      <c r="A548" s="2">
        <v>3.79</v>
      </c>
    </row>
    <row r="549" spans="1:1">
      <c r="A549" s="2">
        <v>3.51</v>
      </c>
    </row>
    <row r="550" spans="1:1">
      <c r="A550" s="2">
        <v>3.52</v>
      </c>
    </row>
    <row r="551" spans="1:1">
      <c r="A551" s="2">
        <v>3.52</v>
      </c>
    </row>
    <row r="552" spans="1:1">
      <c r="A552" s="2">
        <v>3.71</v>
      </c>
    </row>
    <row r="553" spans="1:1">
      <c r="A553" s="2">
        <v>3.52</v>
      </c>
    </row>
    <row r="554" spans="1:1">
      <c r="A554" s="2">
        <v>3.46</v>
      </c>
    </row>
    <row r="555" spans="1:1">
      <c r="A555" s="2">
        <v>3.54</v>
      </c>
    </row>
    <row r="556" spans="1:1">
      <c r="A556" s="2">
        <v>3.78</v>
      </c>
    </row>
    <row r="557" spans="1:1">
      <c r="A557" s="2">
        <v>3.55</v>
      </c>
    </row>
    <row r="558" spans="1:1">
      <c r="A558" s="2">
        <v>3.52</v>
      </c>
    </row>
    <row r="559" spans="1:1">
      <c r="A559" s="2">
        <v>3.55</v>
      </c>
    </row>
    <row r="560" spans="1:1">
      <c r="A560" s="2">
        <v>3.77</v>
      </c>
    </row>
    <row r="561" spans="1:1">
      <c r="A561" s="2">
        <v>3.58</v>
      </c>
    </row>
    <row r="562" spans="1:1">
      <c r="A562" s="2">
        <v>3.78</v>
      </c>
    </row>
    <row r="563" spans="1:1">
      <c r="A563" s="2">
        <v>3.52</v>
      </c>
    </row>
    <row r="564" spans="1:1">
      <c r="A564" s="2">
        <v>3.52</v>
      </c>
    </row>
    <row r="565" spans="1:1">
      <c r="A565" s="2">
        <v>3.6</v>
      </c>
    </row>
    <row r="566" spans="1:1">
      <c r="A566" s="2">
        <v>3.6</v>
      </c>
    </row>
    <row r="567" spans="1:1">
      <c r="A567" s="2">
        <v>3.59</v>
      </c>
    </row>
    <row r="568" spans="1:1">
      <c r="A568" s="2">
        <v>3.55</v>
      </c>
    </row>
    <row r="569" spans="1:1">
      <c r="A569" s="2">
        <v>3.51</v>
      </c>
    </row>
    <row r="570" spans="1:1">
      <c r="A570" s="2">
        <v>3.52</v>
      </c>
    </row>
    <row r="571" spans="1:1">
      <c r="A571" s="2">
        <v>3.77</v>
      </c>
    </row>
    <row r="572" spans="1:1">
      <c r="A572" s="2">
        <v>3.51</v>
      </c>
    </row>
    <row r="573" spans="1:1">
      <c r="A573" s="2">
        <v>3.79</v>
      </c>
    </row>
    <row r="574" spans="1:1">
      <c r="A574" s="2">
        <v>3.78</v>
      </c>
    </row>
    <row r="575" spans="1:1">
      <c r="A575" s="2">
        <v>3.52</v>
      </c>
    </row>
    <row r="576" spans="1:1">
      <c r="A576" s="2">
        <v>3.48</v>
      </c>
    </row>
    <row r="577" spans="1:1">
      <c r="A577" s="2">
        <v>3.58</v>
      </c>
    </row>
    <row r="578" spans="1:1">
      <c r="A578" s="2">
        <v>3.52</v>
      </c>
    </row>
    <row r="579" spans="1:1">
      <c r="A579" s="2">
        <v>3.62</v>
      </c>
    </row>
    <row r="580" spans="1:1">
      <c r="A580" s="2">
        <v>3.51</v>
      </c>
    </row>
    <row r="581" spans="1:1">
      <c r="A581" s="2">
        <v>3.65</v>
      </c>
    </row>
    <row r="582" spans="1:1">
      <c r="A582" s="2">
        <v>3.68</v>
      </c>
    </row>
    <row r="583" spans="1:1">
      <c r="A583" s="2">
        <v>3.52</v>
      </c>
    </row>
    <row r="584" spans="1:1">
      <c r="A584" s="2">
        <v>3.45</v>
      </c>
    </row>
    <row r="585" spans="1:1">
      <c r="A585" s="2">
        <v>3.52</v>
      </c>
    </row>
    <row r="586" spans="1:1">
      <c r="A586" s="2">
        <v>3.61</v>
      </c>
    </row>
    <row r="587" spans="1:1">
      <c r="A587" s="2">
        <v>3.66</v>
      </c>
    </row>
    <row r="588" spans="1:1">
      <c r="A588" s="2">
        <v>3.52</v>
      </c>
    </row>
    <row r="589" spans="1:1">
      <c r="A589" s="2">
        <v>3.62</v>
      </c>
    </row>
    <row r="590" spans="1:1">
      <c r="A590" s="2">
        <v>3.69</v>
      </c>
    </row>
    <row r="591" spans="1:1">
      <c r="A591" s="2">
        <v>3.58</v>
      </c>
    </row>
    <row r="592" spans="1:1">
      <c r="A592" s="2">
        <v>3.52</v>
      </c>
    </row>
    <row r="593" spans="1:1">
      <c r="A593" s="2">
        <v>3.53</v>
      </c>
    </row>
    <row r="594" spans="1:1">
      <c r="A594" s="2">
        <v>3.46</v>
      </c>
    </row>
    <row r="595" spans="1:1">
      <c r="A595" s="2">
        <v>3.52</v>
      </c>
    </row>
    <row r="596" spans="1:1">
      <c r="A596" s="2">
        <v>3.61</v>
      </c>
    </row>
    <row r="597" spans="1:1">
      <c r="A597" s="2">
        <v>3.78</v>
      </c>
    </row>
    <row r="598" spans="1:1">
      <c r="A598" s="2">
        <v>3.69</v>
      </c>
    </row>
    <row r="599" spans="1:1">
      <c r="A599" s="2">
        <v>3.52</v>
      </c>
    </row>
    <row r="600" spans="1:1">
      <c r="A600" s="2">
        <v>3.66</v>
      </c>
    </row>
    <row r="601" spans="1:1">
      <c r="A601" s="2">
        <v>3.52</v>
      </c>
    </row>
    <row r="602" spans="1:1">
      <c r="A602" s="2">
        <v>3.78</v>
      </c>
    </row>
    <row r="603" spans="1:1">
      <c r="A603" s="2">
        <v>3.51</v>
      </c>
    </row>
    <row r="604" spans="1:1">
      <c r="A604" s="2">
        <v>3.73</v>
      </c>
    </row>
    <row r="605" spans="1:1">
      <c r="A605" s="2">
        <v>3.6</v>
      </c>
    </row>
    <row r="606" spans="1:1">
      <c r="A606" s="2">
        <v>3.52</v>
      </c>
    </row>
    <row r="607" spans="1:1">
      <c r="A607" s="2">
        <v>3.52</v>
      </c>
    </row>
    <row r="608" spans="1:1">
      <c r="A608" s="2">
        <v>3.55</v>
      </c>
    </row>
    <row r="609" spans="1:1">
      <c r="A609" s="2">
        <v>3.52</v>
      </c>
    </row>
    <row r="610" spans="1:1">
      <c r="A610" s="2">
        <v>3.58</v>
      </c>
    </row>
    <row r="611" spans="1:1">
      <c r="A611" s="2">
        <v>3.52</v>
      </c>
    </row>
    <row r="612" spans="1:1">
      <c r="A612" s="2">
        <v>3.57</v>
      </c>
    </row>
    <row r="613" spans="1:1">
      <c r="A613" s="2">
        <v>3.51</v>
      </c>
    </row>
    <row r="614" spans="1:1">
      <c r="A614" s="2">
        <v>3.59</v>
      </c>
    </row>
    <row r="615" spans="1:1">
      <c r="A615" s="2">
        <v>3.78</v>
      </c>
    </row>
    <row r="616" spans="1:1">
      <c r="A616" s="2">
        <v>3.78</v>
      </c>
    </row>
    <row r="617" spans="1:1">
      <c r="A617" s="2">
        <v>3.47</v>
      </c>
    </row>
    <row r="618" spans="1:1">
      <c r="A618" s="2">
        <v>3.52</v>
      </c>
    </row>
    <row r="619" spans="1:1">
      <c r="A619" s="2">
        <v>3.57</v>
      </c>
    </row>
    <row r="620" spans="1:1">
      <c r="A620" s="2">
        <v>3.71</v>
      </c>
    </row>
    <row r="621" spans="1:1">
      <c r="A621" s="2">
        <v>3.52</v>
      </c>
    </row>
    <row r="622" spans="1:1">
      <c r="A622" s="2">
        <v>3.65</v>
      </c>
    </row>
    <row r="623" spans="1:1">
      <c r="A623" s="2">
        <v>3.78</v>
      </c>
    </row>
    <row r="624" spans="1:1">
      <c r="A624" s="2">
        <v>3.52</v>
      </c>
    </row>
    <row r="625" spans="1:1">
      <c r="A625" s="2">
        <v>3.54</v>
      </c>
    </row>
    <row r="626" spans="1:1">
      <c r="A626" s="2">
        <v>3.52</v>
      </c>
    </row>
    <row r="627" spans="1:1">
      <c r="A627" s="2">
        <v>3.52</v>
      </c>
    </row>
    <row r="628" spans="1:1">
      <c r="A628" s="2">
        <v>3.66</v>
      </c>
    </row>
    <row r="629" spans="1:1">
      <c r="A629" s="2">
        <v>3.82</v>
      </c>
    </row>
    <row r="630" spans="1:1">
      <c r="A630" s="2">
        <v>3.52</v>
      </c>
    </row>
    <row r="631" spans="1:1">
      <c r="A631" s="2">
        <v>3.61</v>
      </c>
    </row>
    <row r="632" spans="1:1">
      <c r="A632" s="2">
        <v>3.52</v>
      </c>
    </row>
    <row r="633" spans="1:1">
      <c r="A633" s="2">
        <v>3.6</v>
      </c>
    </row>
    <row r="634" spans="1:1">
      <c r="A634" s="2">
        <v>3.52</v>
      </c>
    </row>
    <row r="635" spans="1:1">
      <c r="A635" s="2">
        <v>3.7</v>
      </c>
    </row>
    <row r="636" spans="1:1">
      <c r="A636" s="2">
        <v>3.62</v>
      </c>
    </row>
    <row r="637" spans="1:1">
      <c r="A637" s="2">
        <v>3.52</v>
      </c>
    </row>
    <row r="638" spans="1:1">
      <c r="A638" s="2">
        <v>3.72</v>
      </c>
    </row>
    <row r="639" spans="1:1">
      <c r="A639" s="2">
        <v>3.45</v>
      </c>
    </row>
    <row r="640" spans="1:1">
      <c r="A640" s="2">
        <v>3.52</v>
      </c>
    </row>
    <row r="641" spans="1:1">
      <c r="A641" s="2">
        <v>3.52</v>
      </c>
    </row>
    <row r="642" spans="1:1">
      <c r="A642" s="2">
        <v>3.52</v>
      </c>
    </row>
    <row r="643" spans="1:1">
      <c r="A643" s="2">
        <v>3.52</v>
      </c>
    </row>
    <row r="644" spans="1:1">
      <c r="A644" s="2">
        <v>3.78</v>
      </c>
    </row>
    <row r="645" spans="1:1">
      <c r="A645" s="2">
        <v>3.52</v>
      </c>
    </row>
    <row r="646" spans="1:1">
      <c r="A646" s="2">
        <v>3.52</v>
      </c>
    </row>
    <row r="647" spans="1:1">
      <c r="A647" s="2">
        <v>3.46</v>
      </c>
    </row>
    <row r="648" spans="1:1">
      <c r="A648" s="2">
        <v>3.52</v>
      </c>
    </row>
    <row r="649" spans="1:1">
      <c r="A649" s="2">
        <v>3.52</v>
      </c>
    </row>
    <row r="650" spans="1:1">
      <c r="A650" s="2">
        <v>3.52</v>
      </c>
    </row>
    <row r="651" spans="1:1">
      <c r="A651" s="2">
        <v>3.52</v>
      </c>
    </row>
    <row r="652" spans="1:1">
      <c r="A652" s="2">
        <v>3.78</v>
      </c>
    </row>
    <row r="653" spans="1:1">
      <c r="A653" s="2">
        <v>3.52</v>
      </c>
    </row>
    <row r="654" spans="1:1">
      <c r="A654" s="2">
        <v>3.52</v>
      </c>
    </row>
    <row r="655" spans="1:1">
      <c r="A655" s="2">
        <v>3.51</v>
      </c>
    </row>
    <row r="656" spans="1:1">
      <c r="A656" s="2">
        <v>3.49</v>
      </c>
    </row>
    <row r="657" spans="1:1">
      <c r="A657" s="2">
        <v>3.52</v>
      </c>
    </row>
    <row r="658" spans="1:1">
      <c r="A658" s="2">
        <v>3.48</v>
      </c>
    </row>
    <row r="659" spans="1:1">
      <c r="A659" s="2">
        <v>3.68</v>
      </c>
    </row>
    <row r="660" spans="1:1">
      <c r="A660" s="2">
        <v>3.52</v>
      </c>
    </row>
    <row r="661" spans="1:1">
      <c r="A661" s="2">
        <v>3.52</v>
      </c>
    </row>
    <row r="662" spans="1:1">
      <c r="A662" s="2">
        <v>3.52</v>
      </c>
    </row>
    <row r="663" spans="1:1">
      <c r="A663" s="2">
        <v>3.72</v>
      </c>
    </row>
    <row r="664" spans="1:1">
      <c r="A664" s="2">
        <v>3.52</v>
      </c>
    </row>
    <row r="665" spans="1:1">
      <c r="A665" s="2">
        <v>3.41</v>
      </c>
    </row>
    <row r="666" spans="1:1">
      <c r="A666" s="2">
        <v>3.68</v>
      </c>
    </row>
    <row r="667" spans="1:1">
      <c r="A667" s="2">
        <v>3.46</v>
      </c>
    </row>
    <row r="668" spans="1:1">
      <c r="A668" s="2">
        <v>3.52</v>
      </c>
    </row>
    <row r="669" spans="1:1">
      <c r="A669" s="2">
        <v>3.74</v>
      </c>
    </row>
    <row r="670" spans="1:1">
      <c r="A670" s="2">
        <v>3.52</v>
      </c>
    </row>
    <row r="671" spans="1:1">
      <c r="A671" s="2">
        <v>3.56</v>
      </c>
    </row>
    <row r="672" spans="1:1">
      <c r="A672" s="2">
        <v>3.61</v>
      </c>
    </row>
    <row r="673" spans="1:1">
      <c r="A673" s="2">
        <v>3.52</v>
      </c>
    </row>
    <row r="674" spans="1:1">
      <c r="A674" s="2">
        <v>3.7</v>
      </c>
    </row>
    <row r="675" spans="1:1">
      <c r="A675" s="2">
        <v>3.58</v>
      </c>
    </row>
    <row r="676" spans="1:1">
      <c r="A676" s="2">
        <v>3.58</v>
      </c>
    </row>
    <row r="677" spans="1:1">
      <c r="A677" s="2">
        <v>3.52</v>
      </c>
    </row>
    <row r="678" spans="1:1">
      <c r="A678" s="2">
        <v>3.52</v>
      </c>
    </row>
    <row r="679" spans="1:1">
      <c r="A679" s="2">
        <v>3.56</v>
      </c>
    </row>
    <row r="680" spans="1:1">
      <c r="A680" s="2">
        <v>3.43</v>
      </c>
    </row>
    <row r="681" spans="1:1">
      <c r="A681" s="2">
        <v>3.52</v>
      </c>
    </row>
    <row r="682" spans="1:1">
      <c r="A682" s="2">
        <v>3.54</v>
      </c>
    </row>
    <row r="683" spans="1:1">
      <c r="A683" s="2">
        <v>3.52</v>
      </c>
    </row>
    <row r="684" spans="1:1">
      <c r="A684" s="2">
        <v>3.43</v>
      </c>
    </row>
    <row r="685" spans="1:1">
      <c r="A685" s="2">
        <v>3.52</v>
      </c>
    </row>
    <row r="686" spans="1:1">
      <c r="A686" s="2">
        <v>3.51</v>
      </c>
    </row>
    <row r="687" spans="1:1">
      <c r="A687" s="2">
        <v>3.52</v>
      </c>
    </row>
    <row r="688" spans="1:1">
      <c r="A688" s="2">
        <v>3.53</v>
      </c>
    </row>
    <row r="689" spans="1:1">
      <c r="A689" s="2">
        <v>3.76</v>
      </c>
    </row>
    <row r="690" spans="1:1">
      <c r="A690" s="2">
        <v>3.78</v>
      </c>
    </row>
    <row r="691" spans="1:1">
      <c r="A691" s="2">
        <v>3.76</v>
      </c>
    </row>
    <row r="692" spans="1:1">
      <c r="A692" s="2">
        <v>3.52</v>
      </c>
    </row>
    <row r="693" spans="1:1">
      <c r="A693" s="2">
        <v>3.48</v>
      </c>
    </row>
    <row r="694" spans="1:1">
      <c r="A694" s="2">
        <v>3.52</v>
      </c>
    </row>
    <row r="695" spans="1:1">
      <c r="A695" s="2">
        <v>3.52</v>
      </c>
    </row>
    <row r="696" spans="1:1">
      <c r="A696" s="2">
        <v>3.54</v>
      </c>
    </row>
    <row r="697" spans="1:1">
      <c r="A697" s="2">
        <v>3.78</v>
      </c>
    </row>
    <row r="698" spans="1:1">
      <c r="A698" s="2">
        <v>3.52</v>
      </c>
    </row>
    <row r="699" spans="1:1">
      <c r="A699" s="2">
        <v>3.52</v>
      </c>
    </row>
    <row r="700" spans="1:1">
      <c r="A700" s="2">
        <v>3.52</v>
      </c>
    </row>
    <row r="701" spans="1:1">
      <c r="A701" s="2">
        <v>3.52</v>
      </c>
    </row>
    <row r="702" spans="1:1">
      <c r="A702" s="2">
        <v>3.5</v>
      </c>
    </row>
    <row r="703" spans="1:1">
      <c r="A703" s="2">
        <v>3.51</v>
      </c>
    </row>
    <row r="704" spans="1:1">
      <c r="A704" s="2">
        <v>3.47</v>
      </c>
    </row>
    <row r="705" spans="1:1">
      <c r="A705" s="2">
        <v>3.52</v>
      </c>
    </row>
    <row r="706" spans="1:1">
      <c r="A706" s="2">
        <v>3.52</v>
      </c>
    </row>
    <row r="707" spans="1:1">
      <c r="A707" s="2">
        <v>3.52</v>
      </c>
    </row>
    <row r="708" spans="1:1">
      <c r="A708" s="2">
        <v>3.56</v>
      </c>
    </row>
    <row r="709" spans="1:1">
      <c r="A709" s="2">
        <v>3.74</v>
      </c>
    </row>
    <row r="710" spans="1:1">
      <c r="A710" s="2">
        <v>3.5</v>
      </c>
    </row>
    <row r="711" spans="1:1">
      <c r="A711" s="2">
        <v>3.45</v>
      </c>
    </row>
    <row r="712" spans="1:1">
      <c r="A712" s="2">
        <v>3.52</v>
      </c>
    </row>
    <row r="713" spans="1:1">
      <c r="A713" s="2">
        <v>3.7</v>
      </c>
    </row>
    <row r="714" spans="1:1">
      <c r="A714" s="2">
        <v>3.52</v>
      </c>
    </row>
    <row r="715" spans="1:1">
      <c r="A715" s="2">
        <v>3.41</v>
      </c>
    </row>
    <row r="716" spans="1:1">
      <c r="A716" s="2">
        <v>3.51</v>
      </c>
    </row>
    <row r="717" spans="1:1">
      <c r="A717" s="2">
        <v>3.64</v>
      </c>
    </row>
    <row r="718" spans="1:1">
      <c r="A718" s="2">
        <v>3.52</v>
      </c>
    </row>
    <row r="719" spans="1:1">
      <c r="A719" s="2">
        <v>3.5</v>
      </c>
    </row>
    <row r="720" spans="1:1">
      <c r="A720" s="2">
        <v>3.51</v>
      </c>
    </row>
    <row r="721" spans="1:1">
      <c r="A721" s="2">
        <v>3.52</v>
      </c>
    </row>
    <row r="722" spans="1:1">
      <c r="A722" s="2">
        <v>3.52</v>
      </c>
    </row>
    <row r="723" spans="1:1">
      <c r="A723" s="2">
        <v>3.63</v>
      </c>
    </row>
    <row r="724" spans="1:1">
      <c r="A724" s="2">
        <v>3.52</v>
      </c>
    </row>
    <row r="725" spans="1:1">
      <c r="A725" s="2">
        <v>3.52</v>
      </c>
    </row>
    <row r="726" spans="1:1">
      <c r="A726" s="2">
        <v>3.46</v>
      </c>
    </row>
    <row r="727" spans="1:1">
      <c r="A727" s="2">
        <v>3.52</v>
      </c>
    </row>
    <row r="728" spans="1:1">
      <c r="A728" s="2">
        <v>3.52</v>
      </c>
    </row>
    <row r="729" spans="1:1">
      <c r="A729" s="2">
        <v>3.47</v>
      </c>
    </row>
    <row r="730" spans="1:1">
      <c r="A730" s="2">
        <v>3.59</v>
      </c>
    </row>
    <row r="731" spans="1:1">
      <c r="A731" s="2">
        <v>3.52</v>
      </c>
    </row>
    <row r="732" spans="1:1">
      <c r="A732" s="2">
        <v>3.52</v>
      </c>
    </row>
    <row r="733" spans="1:1">
      <c r="A733" s="2">
        <v>3.67</v>
      </c>
    </row>
    <row r="734" spans="1:1">
      <c r="A734" s="2">
        <v>3.78</v>
      </c>
    </row>
    <row r="735" spans="1:1">
      <c r="A735" s="2">
        <v>3.54</v>
      </c>
    </row>
    <row r="736" spans="1:1">
      <c r="A736" s="2">
        <v>3.71</v>
      </c>
    </row>
    <row r="737" spans="1:1">
      <c r="A737" s="2">
        <v>3.52</v>
      </c>
    </row>
    <row r="738" spans="1:1">
      <c r="A738" s="2">
        <v>3.52</v>
      </c>
    </row>
    <row r="739" spans="1:1">
      <c r="A739" s="2">
        <v>3.52</v>
      </c>
    </row>
    <row r="740" spans="1:1">
      <c r="A740" s="2">
        <v>3.61</v>
      </c>
    </row>
    <row r="741" spans="1:1">
      <c r="A741" s="2">
        <v>3.7</v>
      </c>
    </row>
    <row r="742" spans="1:1">
      <c r="A742" s="2">
        <v>3.42</v>
      </c>
    </row>
    <row r="743" spans="1:1">
      <c r="A743" s="2">
        <v>3.8</v>
      </c>
    </row>
    <row r="744" spans="1:1">
      <c r="A744" s="2">
        <v>3.71</v>
      </c>
    </row>
    <row r="745" spans="1:1">
      <c r="A745" s="2">
        <v>3.44</v>
      </c>
    </row>
    <row r="746" spans="1:1">
      <c r="A746" s="2">
        <v>3.45</v>
      </c>
    </row>
    <row r="747" spans="1:1">
      <c r="A747" s="2">
        <v>3.59</v>
      </c>
    </row>
    <row r="748" spans="1:1">
      <c r="A748" s="2">
        <v>3.52</v>
      </c>
    </row>
    <row r="749" spans="1:1">
      <c r="A749" s="2">
        <v>3.52</v>
      </c>
    </row>
    <row r="750" spans="1:1">
      <c r="A750" s="2">
        <v>3.43</v>
      </c>
    </row>
    <row r="751" spans="1:1">
      <c r="A751" s="2">
        <v>3.69</v>
      </c>
    </row>
    <row r="752" spans="1:1">
      <c r="A752" s="2">
        <v>3.52</v>
      </c>
    </row>
    <row r="753" spans="1:1">
      <c r="A753" s="2">
        <v>3.72</v>
      </c>
    </row>
    <row r="754" spans="1:1">
      <c r="A754" s="2">
        <v>3.54</v>
      </c>
    </row>
    <row r="755" spans="1:1">
      <c r="A755" s="2">
        <v>3.52</v>
      </c>
    </row>
    <row r="756" spans="1:1">
      <c r="A756" s="2">
        <v>3.71</v>
      </c>
    </row>
    <row r="757" spans="1:1">
      <c r="A757" s="2">
        <v>3.44</v>
      </c>
    </row>
    <row r="758" spans="1:1">
      <c r="A758" s="2">
        <v>3.71</v>
      </c>
    </row>
    <row r="759" spans="1:1">
      <c r="A759" s="2">
        <v>3.77</v>
      </c>
    </row>
    <row r="760" spans="1:1">
      <c r="A760" s="2">
        <v>3.65</v>
      </c>
    </row>
    <row r="761" spans="1:1">
      <c r="A761" s="2">
        <v>3.52</v>
      </c>
    </row>
    <row r="762" spans="1:1">
      <c r="A762" s="2">
        <v>3.52</v>
      </c>
    </row>
    <row r="763" spans="1:1">
      <c r="A763" s="2">
        <v>3.65</v>
      </c>
    </row>
    <row r="764" spans="1:1">
      <c r="A764" s="2">
        <v>3.52</v>
      </c>
    </row>
    <row r="765" spans="1:1">
      <c r="A765" s="2">
        <v>3.52</v>
      </c>
    </row>
    <row r="766" spans="1:1">
      <c r="A766" s="2">
        <v>3.68</v>
      </c>
    </row>
    <row r="767" spans="1:1">
      <c r="A767" s="2">
        <v>3.52</v>
      </c>
    </row>
    <row r="768" spans="1:1">
      <c r="A768" s="2">
        <v>3.52</v>
      </c>
    </row>
    <row r="769" spans="1:1">
      <c r="A769" s="2">
        <v>3.52</v>
      </c>
    </row>
    <row r="770" spans="1:1">
      <c r="A770" s="2">
        <v>3.68</v>
      </c>
    </row>
    <row r="771" spans="1:1">
      <c r="A771" s="2">
        <v>3.53</v>
      </c>
    </row>
    <row r="772" spans="1:1">
      <c r="A772" s="2">
        <v>3.52</v>
      </c>
    </row>
    <row r="773" spans="1:1">
      <c r="A773" s="2">
        <v>3.52</v>
      </c>
    </row>
    <row r="774" spans="1:1">
      <c r="A774" s="2">
        <v>3.67</v>
      </c>
    </row>
    <row r="775" spans="1:1">
      <c r="A775" s="2">
        <v>3.51</v>
      </c>
    </row>
    <row r="776" spans="1:1">
      <c r="A776" s="2">
        <v>3.52</v>
      </c>
    </row>
    <row r="777" spans="1:1">
      <c r="A777" s="2">
        <v>3.73</v>
      </c>
    </row>
    <row r="778" spans="1:1">
      <c r="A778" s="2">
        <v>3.52</v>
      </c>
    </row>
    <row r="779" spans="1:1">
      <c r="A779" s="2">
        <v>3.51</v>
      </c>
    </row>
    <row r="780" spans="1:1">
      <c r="A780" s="2">
        <v>3.49</v>
      </c>
    </row>
    <row r="781" spans="1:1">
      <c r="A781" s="2">
        <v>3.52</v>
      </c>
    </row>
    <row r="782" spans="1:1">
      <c r="A782" s="2">
        <v>3.78</v>
      </c>
    </row>
    <row r="783" spans="1:1">
      <c r="A783" s="2">
        <v>3.74</v>
      </c>
    </row>
    <row r="784" spans="1:1">
      <c r="A784" s="2">
        <v>3.49</v>
      </c>
    </row>
    <row r="785" spans="1:1">
      <c r="A785" s="2">
        <v>3.52</v>
      </c>
    </row>
    <row r="786" spans="1:1">
      <c r="A786" s="2">
        <v>3.52</v>
      </c>
    </row>
    <row r="787" spans="1:1">
      <c r="A787" s="2">
        <v>3.63</v>
      </c>
    </row>
    <row r="788" spans="1:1">
      <c r="A788" s="2">
        <v>3.63</v>
      </c>
    </row>
    <row r="789" spans="1:1">
      <c r="A789" s="2">
        <v>3.52</v>
      </c>
    </row>
    <row r="790" spans="1:1">
      <c r="A790" s="2">
        <v>3.62</v>
      </c>
    </row>
    <row r="791" spans="1:1">
      <c r="A791" s="2">
        <v>3.52</v>
      </c>
    </row>
    <row r="792" spans="1:1">
      <c r="A792" s="2">
        <v>3.74</v>
      </c>
    </row>
    <row r="793" spans="1:1">
      <c r="A793" s="2">
        <v>3.52</v>
      </c>
    </row>
    <row r="794" spans="1:1">
      <c r="A794" s="2">
        <v>3.52</v>
      </c>
    </row>
    <row r="795" spans="1:1">
      <c r="A795" s="2">
        <v>3.42</v>
      </c>
    </row>
    <row r="796" spans="1:1">
      <c r="A796" s="2">
        <v>3.52</v>
      </c>
    </row>
    <row r="797" spans="1:1">
      <c r="A797" s="2">
        <v>3.51</v>
      </c>
    </row>
    <row r="798" spans="1:1">
      <c r="A798" s="2">
        <v>3.52</v>
      </c>
    </row>
    <row r="799" spans="1:1">
      <c r="A799" s="2">
        <v>3.52</v>
      </c>
    </row>
    <row r="800" spans="1:1">
      <c r="A800" s="2">
        <v>3.62</v>
      </c>
    </row>
    <row r="801" spans="1:1">
      <c r="A801" s="2">
        <v>3.79</v>
      </c>
    </row>
    <row r="802" spans="1:1">
      <c r="A802" s="2">
        <v>3.53</v>
      </c>
    </row>
    <row r="803" spans="1:1">
      <c r="A803" s="2">
        <v>3.62</v>
      </c>
    </row>
    <row r="804" spans="1:1">
      <c r="A804" s="2">
        <v>3.52</v>
      </c>
    </row>
    <row r="805" spans="1:1">
      <c r="A805" s="2">
        <v>3.52</v>
      </c>
    </row>
    <row r="806" spans="1:1">
      <c r="A806" s="2">
        <v>3.52</v>
      </c>
    </row>
    <row r="807" spans="1:1">
      <c r="A807" s="2">
        <v>3.52</v>
      </c>
    </row>
    <row r="808" spans="1:1">
      <c r="A808" s="2">
        <v>3.51</v>
      </c>
    </row>
    <row r="809" spans="1:1">
      <c r="A809" s="2">
        <v>3.79</v>
      </c>
    </row>
    <row r="810" spans="1:1">
      <c r="A810" s="2">
        <v>3.63</v>
      </c>
    </row>
    <row r="811" spans="1:1">
      <c r="A811" s="2">
        <v>3.52</v>
      </c>
    </row>
    <row r="812" spans="1:1">
      <c r="A812" s="2">
        <v>3.64</v>
      </c>
    </row>
    <row r="813" spans="1:1">
      <c r="A813" s="2">
        <v>3.52</v>
      </c>
    </row>
    <row r="814" spans="1:1">
      <c r="A814" s="2">
        <v>3.59</v>
      </c>
    </row>
    <row r="815" spans="1:1">
      <c r="A815" s="2">
        <v>3.78</v>
      </c>
    </row>
    <row r="816" spans="1:1">
      <c r="A816" s="2">
        <v>3.52</v>
      </c>
    </row>
    <row r="817" spans="1:1">
      <c r="A817" s="2">
        <v>3.66</v>
      </c>
    </row>
    <row r="818" spans="1:1">
      <c r="A818" s="2">
        <v>3.65</v>
      </c>
    </row>
    <row r="819" spans="1:1">
      <c r="A819" s="2">
        <v>3.65</v>
      </c>
    </row>
    <row r="820" spans="1:1">
      <c r="A820" s="2">
        <v>3.52</v>
      </c>
    </row>
    <row r="821" spans="1:1">
      <c r="A821" s="2">
        <v>3.74</v>
      </c>
    </row>
    <row r="822" spans="1:1">
      <c r="A822" s="2">
        <v>3.51</v>
      </c>
    </row>
    <row r="823" spans="1:1">
      <c r="A823" s="2">
        <v>3.42</v>
      </c>
    </row>
    <row r="824" spans="1:1">
      <c r="A824" s="2">
        <v>3.52</v>
      </c>
    </row>
    <row r="825" spans="1:1">
      <c r="A825" s="2">
        <v>3.52</v>
      </c>
    </row>
    <row r="826" spans="1:1">
      <c r="A826" s="2">
        <v>3.55</v>
      </c>
    </row>
    <row r="827" spans="1:1">
      <c r="A827" s="2">
        <v>3.53</v>
      </c>
    </row>
    <row r="828" spans="1:1">
      <c r="A828" s="2">
        <v>3.65</v>
      </c>
    </row>
    <row r="829" spans="1:1">
      <c r="A829" s="2">
        <v>3.78</v>
      </c>
    </row>
    <row r="830" spans="1:1">
      <c r="A830" s="2">
        <v>3.48</v>
      </c>
    </row>
    <row r="831" spans="1:1">
      <c r="A831" s="2">
        <v>3.52</v>
      </c>
    </row>
    <row r="832" spans="1:1">
      <c r="A832" s="2">
        <v>3.52</v>
      </c>
    </row>
    <row r="833" spans="1:1">
      <c r="A833" s="2">
        <v>3.52</v>
      </c>
    </row>
    <row r="834" spans="1:1">
      <c r="A834" s="2">
        <v>3.52</v>
      </c>
    </row>
    <row r="835" spans="1:1">
      <c r="A835" s="2">
        <v>3.82</v>
      </c>
    </row>
    <row r="836" spans="1:1">
      <c r="A836" s="2">
        <v>3.52</v>
      </c>
    </row>
    <row r="837" spans="1:1">
      <c r="A837" s="2">
        <v>3.59</v>
      </c>
    </row>
    <row r="838" spans="1:1">
      <c r="A838" s="2">
        <v>3.52</v>
      </c>
    </row>
    <row r="839" spans="1:1">
      <c r="A839" s="2">
        <v>3.52</v>
      </c>
    </row>
    <row r="840" spans="1:1">
      <c r="A840" s="2">
        <v>3.57</v>
      </c>
    </row>
    <row r="841" spans="1:1">
      <c r="A841" s="2">
        <v>3.78</v>
      </c>
    </row>
    <row r="842" spans="1:1">
      <c r="A842" s="2">
        <v>3.52</v>
      </c>
    </row>
    <row r="843" spans="1:1">
      <c r="A843" s="2">
        <v>3.63</v>
      </c>
    </row>
    <row r="844" spans="1:1">
      <c r="A844" s="2">
        <v>3.52</v>
      </c>
    </row>
    <row r="845" spans="1:1">
      <c r="A845" s="2">
        <v>3.64</v>
      </c>
    </row>
    <row r="846" spans="1:1">
      <c r="A846" s="2">
        <v>3.56</v>
      </c>
    </row>
    <row r="847" spans="1:1">
      <c r="A847" s="2">
        <v>3.62</v>
      </c>
    </row>
    <row r="848" spans="1:1">
      <c r="A848" s="2">
        <v>3.54</v>
      </c>
    </row>
    <row r="849" spans="1:1">
      <c r="A849" s="2">
        <v>3.42</v>
      </c>
    </row>
    <row r="850" spans="1:1">
      <c r="A850" s="2">
        <v>3.78</v>
      </c>
    </row>
    <row r="851" spans="1:1">
      <c r="A851" s="2">
        <v>3.72</v>
      </c>
    </row>
    <row r="852" spans="1:1">
      <c r="A852" s="2">
        <v>3.78</v>
      </c>
    </row>
    <row r="853" spans="1:1">
      <c r="A853" s="2">
        <v>3.79</v>
      </c>
    </row>
    <row r="854" spans="1:1">
      <c r="A854" s="2">
        <v>3.44</v>
      </c>
    </row>
    <row r="855" spans="1:1">
      <c r="A855" s="2">
        <v>3.52</v>
      </c>
    </row>
    <row r="856" spans="1:1">
      <c r="A856" s="2">
        <v>3.52</v>
      </c>
    </row>
    <row r="857" spans="1:1">
      <c r="A857" s="2">
        <v>3.52</v>
      </c>
    </row>
    <row r="858" spans="1:1">
      <c r="A858" s="2">
        <v>3.7</v>
      </c>
    </row>
    <row r="859" spans="1:1">
      <c r="A859" s="2">
        <v>3.52</v>
      </c>
    </row>
    <row r="860" spans="1:1">
      <c r="A860" s="2">
        <v>3.52</v>
      </c>
    </row>
    <row r="861" spans="1:1">
      <c r="A861" s="2">
        <v>3.52</v>
      </c>
    </row>
    <row r="862" spans="1:1">
      <c r="A862" s="2">
        <v>3.52</v>
      </c>
    </row>
    <row r="863" spans="1:1">
      <c r="A863" s="2">
        <v>3.66</v>
      </c>
    </row>
    <row r="864" spans="1:1">
      <c r="A864" s="2">
        <v>3.51</v>
      </c>
    </row>
    <row r="865" spans="1:1">
      <c r="A865" s="2">
        <v>3.52</v>
      </c>
    </row>
    <row r="866" spans="1:1">
      <c r="A866" s="2">
        <v>3.67</v>
      </c>
    </row>
    <row r="867" spans="1:1">
      <c r="A867" s="2">
        <v>3.52</v>
      </c>
    </row>
    <row r="868" spans="1:1">
      <c r="A868" s="2">
        <v>3.63</v>
      </c>
    </row>
    <row r="869" spans="1:1">
      <c r="A869" s="2">
        <v>3.52</v>
      </c>
    </row>
    <row r="870" spans="1:1">
      <c r="A870" s="2">
        <v>3.78</v>
      </c>
    </row>
    <row r="871" spans="1:1">
      <c r="A871" s="2">
        <v>3.46</v>
      </c>
    </row>
    <row r="872" spans="1:1">
      <c r="A872" s="2">
        <v>3.78</v>
      </c>
    </row>
    <row r="873" spans="1:1">
      <c r="A873" s="2">
        <v>3.7</v>
      </c>
    </row>
    <row r="874" spans="1:1">
      <c r="A874" s="2">
        <v>3.42</v>
      </c>
    </row>
    <row r="875" spans="1:1">
      <c r="A875" s="2">
        <v>3.51</v>
      </c>
    </row>
    <row r="876" spans="1:1">
      <c r="A876" s="2">
        <v>3.41</v>
      </c>
    </row>
    <row r="877" spans="1:1">
      <c r="A877" s="2">
        <v>3.52</v>
      </c>
    </row>
    <row r="878" spans="1:1">
      <c r="A878" s="2">
        <v>3.73</v>
      </c>
    </row>
    <row r="879" spans="1:1">
      <c r="A879" s="2">
        <v>3.78</v>
      </c>
    </row>
    <row r="880" spans="1:1">
      <c r="A880" s="2">
        <v>3.54</v>
      </c>
    </row>
    <row r="881" spans="1:1">
      <c r="A881" s="2">
        <v>3.75</v>
      </c>
    </row>
    <row r="882" spans="1:1">
      <c r="A882" s="2">
        <v>3.52</v>
      </c>
    </row>
    <row r="883" spans="1:1">
      <c r="A883" s="2">
        <v>3.52</v>
      </c>
    </row>
    <row r="884" spans="1:1">
      <c r="A884" s="2">
        <v>3.49</v>
      </c>
    </row>
    <row r="885" spans="1:1">
      <c r="A885" s="2">
        <v>3.52</v>
      </c>
    </row>
    <row r="886" spans="1:1">
      <c r="A886" s="2">
        <v>3.61</v>
      </c>
    </row>
    <row r="887" spans="1:1">
      <c r="A887" s="2">
        <v>3.52</v>
      </c>
    </row>
    <row r="888" spans="1:1">
      <c r="A888" s="2">
        <v>3.61</v>
      </c>
    </row>
    <row r="889" spans="1:1">
      <c r="A889" s="2">
        <v>3.67</v>
      </c>
    </row>
    <row r="890" spans="1:1">
      <c r="A890" s="2">
        <v>3.43</v>
      </c>
    </row>
    <row r="891" spans="1:1">
      <c r="A891" s="2">
        <v>3.66</v>
      </c>
    </row>
    <row r="892" spans="1:1">
      <c r="A892" s="2">
        <v>3.52</v>
      </c>
    </row>
    <row r="893" spans="1:1">
      <c r="A893" s="2">
        <v>3.62</v>
      </c>
    </row>
    <row r="894" spans="1:1">
      <c r="A894" s="2">
        <v>3.45</v>
      </c>
    </row>
    <row r="895" spans="1:1">
      <c r="A895" s="2">
        <v>3.63</v>
      </c>
    </row>
    <row r="896" spans="1:1">
      <c r="A896" s="2">
        <v>3.52</v>
      </c>
    </row>
    <row r="897" spans="1:1">
      <c r="A897" s="2">
        <v>3.52</v>
      </c>
    </row>
    <row r="898" spans="1:1">
      <c r="A898" s="2">
        <v>3.52</v>
      </c>
    </row>
    <row r="899" spans="1:1">
      <c r="A899" s="2">
        <v>3.78</v>
      </c>
    </row>
    <row r="900" spans="1:1">
      <c r="A900" s="2">
        <v>3.52</v>
      </c>
    </row>
    <row r="901" spans="1:1">
      <c r="A901" s="2">
        <v>3.61</v>
      </c>
    </row>
    <row r="902" spans="1:1">
      <c r="A902" s="2">
        <v>3.52</v>
      </c>
    </row>
    <row r="903" spans="1:1">
      <c r="A903" s="2">
        <v>3.52</v>
      </c>
    </row>
    <row r="904" spans="1:1">
      <c r="A904" s="2">
        <v>3.52</v>
      </c>
    </row>
    <row r="905" spans="1:1">
      <c r="A905" s="2">
        <v>3.66</v>
      </c>
    </row>
    <row r="906" spans="1:1">
      <c r="A906" s="2">
        <v>3.64</v>
      </c>
    </row>
    <row r="907" spans="1:1">
      <c r="A907" s="2">
        <v>3.52</v>
      </c>
    </row>
    <row r="908" spans="1:1">
      <c r="A908" s="2">
        <v>3.45</v>
      </c>
    </row>
    <row r="909" spans="1:1">
      <c r="A909" s="2">
        <v>3.79</v>
      </c>
    </row>
    <row r="910" spans="1:1">
      <c r="A910" s="2">
        <v>3.47</v>
      </c>
    </row>
    <row r="911" spans="1:1">
      <c r="A911" s="2">
        <v>3.52</v>
      </c>
    </row>
    <row r="912" spans="1:1">
      <c r="A912" s="2">
        <v>3.54</v>
      </c>
    </row>
    <row r="913" spans="1:1">
      <c r="A913" s="2">
        <v>3.62</v>
      </c>
    </row>
    <row r="914" spans="1:1">
      <c r="A914" s="2">
        <v>3.52</v>
      </c>
    </row>
    <row r="915" spans="1:1">
      <c r="A915" s="2">
        <v>3.43</v>
      </c>
    </row>
    <row r="916" spans="1:1">
      <c r="A916" s="2">
        <v>3.41</v>
      </c>
    </row>
    <row r="917" spans="1:1">
      <c r="A917" s="2">
        <v>3.77</v>
      </c>
    </row>
    <row r="918" spans="1:1">
      <c r="A918" s="2">
        <v>3.41</v>
      </c>
    </row>
    <row r="919" spans="1:1">
      <c r="A919" s="2">
        <v>3.52</v>
      </c>
    </row>
    <row r="920" spans="1:1">
      <c r="A920" s="2">
        <v>3.47</v>
      </c>
    </row>
    <row r="921" spans="1:1">
      <c r="A921" s="2">
        <v>3.52</v>
      </c>
    </row>
    <row r="922" spans="1:1">
      <c r="A922" s="2">
        <v>3.78</v>
      </c>
    </row>
    <row r="923" spans="1:1">
      <c r="A923" s="2">
        <v>3.47</v>
      </c>
    </row>
    <row r="924" spans="1:1">
      <c r="A924" s="2">
        <v>3.52</v>
      </c>
    </row>
    <row r="925" spans="1:1">
      <c r="A925" s="2">
        <v>3.78</v>
      </c>
    </row>
    <row r="926" spans="1:1">
      <c r="A926" s="2">
        <v>3.52</v>
      </c>
    </row>
    <row r="927" spans="1:1">
      <c r="A927" s="2">
        <v>3.79</v>
      </c>
    </row>
    <row r="928" spans="1:1">
      <c r="A928" s="2">
        <v>3.52</v>
      </c>
    </row>
    <row r="929" spans="1:1">
      <c r="A929" s="2">
        <v>3.52</v>
      </c>
    </row>
    <row r="930" spans="1:1">
      <c r="A930" s="2">
        <v>3.78</v>
      </c>
    </row>
    <row r="931" spans="1:1">
      <c r="A931" s="2">
        <v>3.52</v>
      </c>
    </row>
    <row r="932" spans="1:1">
      <c r="A932" s="2">
        <v>3.78</v>
      </c>
    </row>
    <row r="933" spans="1:1">
      <c r="A933" s="2">
        <v>3.77</v>
      </c>
    </row>
    <row r="934" spans="1:1">
      <c r="A934" s="2">
        <v>3.51</v>
      </c>
    </row>
    <row r="935" spans="1:1">
      <c r="A935" s="2">
        <v>3.52</v>
      </c>
    </row>
    <row r="936" spans="1:1">
      <c r="A936" s="2">
        <v>3.48</v>
      </c>
    </row>
    <row r="937" spans="1:1">
      <c r="A937" s="2">
        <v>3.51</v>
      </c>
    </row>
    <row r="938" spans="1:1">
      <c r="A938" s="2">
        <v>3.53</v>
      </c>
    </row>
    <row r="939" spans="1:1">
      <c r="A939" s="2">
        <v>3.52</v>
      </c>
    </row>
    <row r="940" spans="1:1">
      <c r="A940" s="2">
        <v>3.48</v>
      </c>
    </row>
    <row r="941" spans="1:1">
      <c r="A941" s="2">
        <v>3.72</v>
      </c>
    </row>
    <row r="942" spans="1:1">
      <c r="A942" s="2">
        <v>3.51</v>
      </c>
    </row>
    <row r="943" spans="1:1">
      <c r="A943" s="2">
        <v>3.64</v>
      </c>
    </row>
    <row r="944" spans="1:1">
      <c r="A944" s="2">
        <v>3.78</v>
      </c>
    </row>
    <row r="945" spans="1:1">
      <c r="A945" s="2">
        <v>3.52</v>
      </c>
    </row>
    <row r="946" spans="1:1">
      <c r="A946" s="2">
        <v>3.52</v>
      </c>
    </row>
    <row r="947" spans="1:1">
      <c r="A947" s="2">
        <v>3.71</v>
      </c>
    </row>
    <row r="948" spans="1:1">
      <c r="A948" s="2">
        <v>3.52</v>
      </c>
    </row>
    <row r="949" spans="1:1">
      <c r="A949" s="2">
        <v>3.78</v>
      </c>
    </row>
    <row r="950" spans="1:1">
      <c r="A950" s="2">
        <v>3.52</v>
      </c>
    </row>
    <row r="951" spans="1:1">
      <c r="A951" s="2">
        <v>3.52</v>
      </c>
    </row>
    <row r="952" spans="1:1">
      <c r="A952" s="2">
        <v>3.52</v>
      </c>
    </row>
    <row r="953" spans="1:1">
      <c r="A953" s="2">
        <v>3.5</v>
      </c>
    </row>
    <row r="954" spans="1:1">
      <c r="A954" s="2">
        <v>3.71</v>
      </c>
    </row>
    <row r="955" spans="1:1">
      <c r="A955" s="2">
        <v>3.54</v>
      </c>
    </row>
    <row r="956" spans="1:1">
      <c r="A956" s="2">
        <v>3.51</v>
      </c>
    </row>
    <row r="957" spans="1:1">
      <c r="A957" s="2">
        <v>3.51</v>
      </c>
    </row>
    <row r="958" spans="1:1">
      <c r="A958" s="2">
        <v>3.52</v>
      </c>
    </row>
    <row r="959" spans="1:1">
      <c r="A959" s="2">
        <v>3.75</v>
      </c>
    </row>
    <row r="960" spans="1:1">
      <c r="A960" s="2">
        <v>3.51</v>
      </c>
    </row>
    <row r="961" spans="1:1">
      <c r="A961" s="2">
        <v>3.46</v>
      </c>
    </row>
    <row r="962" spans="1:1">
      <c r="A962" s="2">
        <v>3.52</v>
      </c>
    </row>
    <row r="963" spans="1:1">
      <c r="A963" s="2">
        <v>3.74</v>
      </c>
    </row>
    <row r="964" spans="1:1">
      <c r="A964" s="2">
        <v>3.52</v>
      </c>
    </row>
    <row r="965" spans="1:1">
      <c r="A965" s="2">
        <v>3.61</v>
      </c>
    </row>
    <row r="966" spans="1:1">
      <c r="A966" s="2">
        <v>3.73</v>
      </c>
    </row>
    <row r="967" spans="1:1">
      <c r="A967" s="2">
        <v>3.52</v>
      </c>
    </row>
    <row r="968" spans="1:1">
      <c r="A968" s="2">
        <v>3.52</v>
      </c>
    </row>
    <row r="969" spans="1:1">
      <c r="A969" s="2">
        <v>3.52</v>
      </c>
    </row>
    <row r="970" spans="1:1">
      <c r="A970" s="2">
        <v>3.52</v>
      </c>
    </row>
    <row r="971" spans="1:1">
      <c r="A971" s="2">
        <v>3.52</v>
      </c>
    </row>
    <row r="972" spans="1:1">
      <c r="A972" s="2">
        <v>3.52</v>
      </c>
    </row>
    <row r="973" spans="1:1">
      <c r="A973" s="2">
        <v>3.52</v>
      </c>
    </row>
    <row r="974" spans="1:1">
      <c r="A974" s="2">
        <v>3.47</v>
      </c>
    </row>
    <row r="975" spans="1:1">
      <c r="A975" s="2">
        <v>3.54</v>
      </c>
    </row>
    <row r="976" spans="1:1">
      <c r="A976" s="2">
        <v>3.78</v>
      </c>
    </row>
    <row r="977" spans="1:1">
      <c r="A977" s="2">
        <v>3.52</v>
      </c>
    </row>
    <row r="978" spans="1:1">
      <c r="A978" s="2">
        <v>3.59</v>
      </c>
    </row>
    <row r="979" spans="1:1">
      <c r="A979" s="2">
        <v>3.52</v>
      </c>
    </row>
    <row r="980" spans="1:1">
      <c r="A980" s="2">
        <v>3.52</v>
      </c>
    </row>
    <row r="981" spans="1:1">
      <c r="A981" s="2">
        <v>3.62</v>
      </c>
    </row>
    <row r="982" spans="1:1">
      <c r="A982" s="2">
        <v>3.52</v>
      </c>
    </row>
    <row r="983" spans="1:1">
      <c r="A983" s="2">
        <v>3.52</v>
      </c>
    </row>
    <row r="984" spans="1:1">
      <c r="A984" s="2">
        <v>3.41</v>
      </c>
    </row>
    <row r="985" spans="1:1">
      <c r="A985" s="2">
        <v>3.43</v>
      </c>
    </row>
    <row r="986" spans="1:1">
      <c r="A986" s="2">
        <v>3.52</v>
      </c>
    </row>
    <row r="987" spans="1:1">
      <c r="A987" s="2">
        <v>3.43</v>
      </c>
    </row>
    <row r="988" spans="1:1">
      <c r="A988" s="2">
        <v>3.52</v>
      </c>
    </row>
    <row r="989" spans="1:1">
      <c r="A989" s="2">
        <v>3.52</v>
      </c>
    </row>
    <row r="990" spans="1:1">
      <c r="A990" s="2">
        <v>3.76</v>
      </c>
    </row>
    <row r="991" spans="1:1">
      <c r="A991" s="2">
        <v>3.51</v>
      </c>
    </row>
    <row r="992" spans="1:1">
      <c r="A992" s="2">
        <v>3.52</v>
      </c>
    </row>
    <row r="993" spans="1:1">
      <c r="A993" s="2">
        <v>3.5</v>
      </c>
    </row>
    <row r="994" spans="1:1">
      <c r="A994" s="2">
        <v>3.62</v>
      </c>
    </row>
    <row r="995" spans="1:1">
      <c r="A995" s="2">
        <v>3.52</v>
      </c>
    </row>
    <row r="996" spans="1:1">
      <c r="A996" s="2">
        <v>3.64</v>
      </c>
    </row>
    <row r="997" spans="1:1">
      <c r="A997" s="2">
        <v>3.51</v>
      </c>
    </row>
    <row r="998" spans="1:1">
      <c r="A998" s="2">
        <v>3.64</v>
      </c>
    </row>
    <row r="999" spans="1:1">
      <c r="A999" s="2">
        <v>3.78</v>
      </c>
    </row>
    <row r="1000" spans="1:1">
      <c r="A1000" s="2">
        <v>3.8</v>
      </c>
    </row>
    <row r="1001" spans="1:1">
      <c r="A1001" s="2">
        <v>3.45</v>
      </c>
    </row>
    <row r="1002" spans="1:1">
      <c r="A1002" s="2">
        <v>3.5</v>
      </c>
    </row>
    <row r="1003" spans="1:1">
      <c r="A1003" s="2">
        <v>3.57</v>
      </c>
    </row>
    <row r="1004" spans="1:1">
      <c r="A1004" s="2">
        <v>3.74</v>
      </c>
    </row>
    <row r="1005" spans="1:1">
      <c r="A1005" s="2">
        <v>3.48</v>
      </c>
    </row>
    <row r="1006" spans="1:1">
      <c r="A1006" s="2">
        <v>3.51</v>
      </c>
    </row>
    <row r="1007" spans="1:1">
      <c r="A1007" s="2">
        <v>3.52</v>
      </c>
    </row>
    <row r="1008" spans="1:1">
      <c r="A1008" s="2">
        <v>3.61</v>
      </c>
    </row>
    <row r="1009" spans="1:1">
      <c r="A1009" s="2">
        <v>3.78</v>
      </c>
    </row>
    <row r="1010" spans="1:1">
      <c r="A1010" s="2">
        <v>3.52</v>
      </c>
    </row>
    <row r="1011" spans="1:1">
      <c r="A1011" s="2">
        <v>3.75</v>
      </c>
    </row>
    <row r="1012" spans="1:1">
      <c r="A1012" s="2">
        <v>3.52</v>
      </c>
    </row>
    <row r="1013" spans="1:1">
      <c r="A1013" s="2">
        <v>3.79</v>
      </c>
    </row>
    <row r="1014" spans="1:1">
      <c r="A1014" s="2">
        <v>3.78</v>
      </c>
    </row>
    <row r="1015" spans="1:1">
      <c r="A1015" s="2">
        <v>3.52</v>
      </c>
    </row>
    <row r="1016" spans="1:1">
      <c r="A1016" s="2">
        <v>3.52</v>
      </c>
    </row>
    <row r="1017" spans="1:1">
      <c r="A1017" s="2">
        <v>3.52</v>
      </c>
    </row>
    <row r="1018" spans="1:1">
      <c r="A1018" s="2">
        <v>3.74</v>
      </c>
    </row>
    <row r="1019" spans="1:1">
      <c r="A1019" s="2">
        <v>3.5</v>
      </c>
    </row>
    <row r="1020" spans="1:1">
      <c r="A1020" s="2">
        <v>3.78</v>
      </c>
    </row>
    <row r="1021" spans="1:1">
      <c r="A1021" s="2">
        <v>3.52</v>
      </c>
    </row>
    <row r="1022" spans="1:1">
      <c r="A1022" s="2">
        <v>3.75</v>
      </c>
    </row>
    <row r="1023" spans="1:1">
      <c r="A1023" s="2">
        <v>3.52</v>
      </c>
    </row>
    <row r="1024" spans="1:1">
      <c r="A1024" s="2">
        <v>3.44</v>
      </c>
    </row>
    <row r="1025" spans="1:1">
      <c r="A1025" s="2">
        <v>3.69</v>
      </c>
    </row>
    <row r="1026" spans="1:1">
      <c r="A1026" s="2">
        <v>3.78</v>
      </c>
    </row>
    <row r="1027" spans="1:1">
      <c r="A1027" s="2">
        <v>3.52</v>
      </c>
    </row>
    <row r="1028" spans="1:1">
      <c r="A1028" s="2">
        <v>3.69</v>
      </c>
    </row>
    <row r="1029" spans="1:1">
      <c r="A1029" s="2">
        <v>3.52</v>
      </c>
    </row>
    <row r="1030" spans="1:1">
      <c r="A1030" s="2">
        <v>3.5</v>
      </c>
    </row>
    <row r="1031" spans="1:1">
      <c r="A1031" s="2">
        <v>3.52</v>
      </c>
    </row>
    <row r="1032" spans="1:1">
      <c r="A1032" s="2">
        <v>3.52</v>
      </c>
    </row>
    <row r="1033" spans="1:1">
      <c r="A1033" s="2">
        <v>3.45</v>
      </c>
    </row>
    <row r="1034" spans="1:1">
      <c r="A1034" s="2">
        <v>3.52</v>
      </c>
    </row>
    <row r="1035" spans="1:1">
      <c r="A1035" s="2">
        <v>3.8</v>
      </c>
    </row>
    <row r="1036" spans="1:1">
      <c r="A1036" s="2">
        <v>3.52</v>
      </c>
    </row>
    <row r="1037" spans="1:1">
      <c r="A1037" s="2">
        <v>3.53</v>
      </c>
    </row>
    <row r="1038" spans="1:1">
      <c r="A1038" s="2">
        <v>3.41</v>
      </c>
    </row>
    <row r="1039" spans="1:1">
      <c r="A1039" s="2">
        <v>3.7</v>
      </c>
    </row>
    <row r="1040" spans="1:1">
      <c r="A1040" s="2">
        <v>3.49</v>
      </c>
    </row>
    <row r="1041" spans="1:1">
      <c r="A1041" s="2">
        <v>3.52</v>
      </c>
    </row>
    <row r="1042" spans="1:1">
      <c r="A1042" s="2">
        <v>3.58</v>
      </c>
    </row>
    <row r="1043" spans="1:1">
      <c r="A1043" s="2">
        <v>3.61</v>
      </c>
    </row>
    <row r="1044" spans="1:1">
      <c r="A1044" s="2">
        <v>3.52</v>
      </c>
    </row>
    <row r="1045" spans="1:1">
      <c r="A1045" s="2">
        <v>3.52</v>
      </c>
    </row>
    <row r="1046" spans="1:1">
      <c r="A1046" s="2">
        <v>3.45</v>
      </c>
    </row>
    <row r="1047" spans="1:1">
      <c r="A1047" s="2">
        <v>3.76</v>
      </c>
    </row>
    <row r="1048" spans="1:1">
      <c r="A1048" s="2">
        <v>3.7</v>
      </c>
    </row>
    <row r="1049" spans="1:1">
      <c r="A1049" s="2">
        <v>3.68</v>
      </c>
    </row>
    <row r="1050" spans="1:1">
      <c r="A1050" s="2">
        <v>3.7</v>
      </c>
    </row>
    <row r="1051" spans="1:1">
      <c r="A1051" s="2">
        <v>3.78</v>
      </c>
    </row>
    <row r="1052" spans="1:1">
      <c r="A1052" s="2">
        <v>3.52</v>
      </c>
    </row>
    <row r="1053" spans="1:1">
      <c r="A1053" s="2">
        <v>3.74</v>
      </c>
    </row>
    <row r="1054" spans="1:1">
      <c r="A1054" s="2">
        <v>3.52</v>
      </c>
    </row>
    <row r="1055" spans="1:1">
      <c r="A1055" s="2">
        <v>3.51</v>
      </c>
    </row>
    <row r="1056" spans="1:1">
      <c r="A1056" s="2">
        <v>3.79</v>
      </c>
    </row>
    <row r="1057" spans="1:1">
      <c r="A1057" s="2">
        <v>3.69</v>
      </c>
    </row>
    <row r="1058" spans="1:1">
      <c r="A1058" s="2">
        <v>3.52</v>
      </c>
    </row>
    <row r="1059" spans="1:1">
      <c r="A1059" s="2">
        <v>3.65</v>
      </c>
    </row>
    <row r="1060" spans="1:1">
      <c r="A1060" s="2">
        <v>3.5</v>
      </c>
    </row>
    <row r="1061" spans="1:1">
      <c r="A1061" s="2">
        <v>3.52</v>
      </c>
    </row>
    <row r="1062" spans="1:1">
      <c r="A1062" s="2">
        <v>3.52</v>
      </c>
    </row>
    <row r="1063" spans="1:1">
      <c r="A1063" s="2">
        <v>3.79</v>
      </c>
    </row>
    <row r="1064" spans="1:1">
      <c r="A1064" s="2">
        <v>3.52</v>
      </c>
    </row>
    <row r="1065" spans="1:1">
      <c r="A1065" s="2">
        <v>3.79</v>
      </c>
    </row>
    <row r="1066" spans="1:1">
      <c r="A1066" s="2">
        <v>3.8</v>
      </c>
    </row>
    <row r="1067" spans="1:1">
      <c r="A1067" s="2">
        <v>3.72</v>
      </c>
    </row>
    <row r="1068" spans="1:1">
      <c r="A1068" s="2">
        <v>3.52</v>
      </c>
    </row>
    <row r="1069" spans="1:1">
      <c r="A1069" s="2">
        <v>3.75</v>
      </c>
    </row>
    <row r="1070" spans="1:1">
      <c r="A1070" s="2">
        <v>3.78</v>
      </c>
    </row>
    <row r="1071" spans="1:1">
      <c r="A1071" s="2">
        <v>3.52</v>
      </c>
    </row>
    <row r="1072" spans="1:1">
      <c r="A1072" s="2">
        <v>3.52</v>
      </c>
    </row>
    <row r="1073" spans="1:1">
      <c r="A1073" s="2">
        <v>3.6</v>
      </c>
    </row>
    <row r="1074" spans="1:1">
      <c r="A1074" s="2">
        <v>3.8</v>
      </c>
    </row>
    <row r="1075" spans="1:1">
      <c r="A1075" s="2">
        <v>3.52</v>
      </c>
    </row>
    <row r="1076" spans="1:1">
      <c r="A1076" s="2">
        <v>3.65</v>
      </c>
    </row>
    <row r="1077" spans="1:1">
      <c r="A1077" s="2">
        <v>3.53</v>
      </c>
    </row>
    <row r="1078" spans="1:1">
      <c r="A1078" s="2">
        <v>3.78</v>
      </c>
    </row>
    <row r="1079" spans="1:1">
      <c r="A1079" s="2">
        <v>3.74</v>
      </c>
    </row>
    <row r="1080" spans="1:1">
      <c r="A1080" s="2">
        <v>3.43</v>
      </c>
    </row>
    <row r="1081" spans="1:1">
      <c r="A1081" s="2">
        <v>3.78</v>
      </c>
    </row>
    <row r="1082" spans="1:1">
      <c r="A1082" s="2">
        <v>3.76</v>
      </c>
    </row>
    <row r="1083" spans="1:1">
      <c r="A1083" s="2">
        <v>3.77</v>
      </c>
    </row>
    <row r="1084" spans="1:1">
      <c r="A1084" s="2">
        <v>3.51</v>
      </c>
    </row>
    <row r="1085" spans="1:1">
      <c r="A1085" s="2">
        <v>3.52</v>
      </c>
    </row>
    <row r="1086" spans="1:1">
      <c r="A1086" s="2">
        <v>3.51</v>
      </c>
    </row>
    <row r="1087" spans="1:1">
      <c r="A1087" s="2">
        <v>3.65</v>
      </c>
    </row>
    <row r="1088" spans="1:1">
      <c r="A1088" s="2">
        <v>3.52</v>
      </c>
    </row>
    <row r="1089" spans="1:1">
      <c r="A1089" s="2">
        <v>3.78</v>
      </c>
    </row>
    <row r="1090" spans="1:1">
      <c r="A1090" s="2">
        <v>3.52</v>
      </c>
    </row>
    <row r="1091" spans="1:1">
      <c r="A1091" s="2">
        <v>3.68</v>
      </c>
    </row>
    <row r="1092" spans="1:1">
      <c r="A1092" s="2">
        <v>3.54</v>
      </c>
    </row>
    <row r="1093" spans="1:1">
      <c r="A1093" s="2">
        <v>3.76</v>
      </c>
    </row>
    <row r="1094" spans="1:1">
      <c r="A1094" s="2">
        <v>3.5</v>
      </c>
    </row>
    <row r="1095" spans="1:1">
      <c r="A1095" s="2">
        <v>3.52</v>
      </c>
    </row>
    <row r="1096" spans="1:1">
      <c r="A1096" s="2">
        <v>3.52</v>
      </c>
    </row>
    <row r="1097" spans="1:1">
      <c r="A1097" s="2">
        <v>3.43</v>
      </c>
    </row>
    <row r="1098" spans="1:1">
      <c r="A1098" s="2">
        <v>3.55</v>
      </c>
    </row>
    <row r="1099" spans="1:1">
      <c r="A1099" s="2">
        <v>3.52</v>
      </c>
    </row>
    <row r="1100" spans="1:1">
      <c r="A1100" s="2">
        <v>3.71</v>
      </c>
    </row>
    <row r="1101" spans="1:1">
      <c r="A1101" s="2">
        <v>3.49</v>
      </c>
    </row>
    <row r="1102" spans="1:1">
      <c r="A1102" s="2">
        <v>3.44</v>
      </c>
    </row>
    <row r="1103" spans="1:1">
      <c r="A1103" s="2">
        <v>3.52</v>
      </c>
    </row>
    <row r="1104" spans="1:1">
      <c r="A1104" s="2">
        <v>3.56</v>
      </c>
    </row>
    <row r="1105" spans="1:1">
      <c r="A1105" s="2">
        <v>3.63</v>
      </c>
    </row>
    <row r="1106" spans="1:1">
      <c r="A1106" s="2">
        <v>3.79</v>
      </c>
    </row>
    <row r="1107" spans="1:1">
      <c r="A1107" s="2">
        <v>3.72</v>
      </c>
    </row>
    <row r="1108" spans="1:1">
      <c r="A1108" s="2">
        <v>3.51</v>
      </c>
    </row>
    <row r="1109" spans="1:1">
      <c r="A1109" s="2">
        <v>3.42</v>
      </c>
    </row>
    <row r="1110" spans="1:1">
      <c r="A1110" s="2">
        <v>3.58</v>
      </c>
    </row>
    <row r="1111" spans="1:1">
      <c r="A1111" s="2">
        <v>3.59</v>
      </c>
    </row>
    <row r="1112" spans="1:1">
      <c r="A1112" s="2">
        <v>3.78</v>
      </c>
    </row>
    <row r="1113" spans="1:1">
      <c r="A1113" s="2">
        <v>3.52</v>
      </c>
    </row>
    <row r="1114" spans="1:1">
      <c r="A1114" s="2">
        <v>3.52</v>
      </c>
    </row>
    <row r="1115" spans="1:1">
      <c r="A1115" s="2">
        <v>3.52</v>
      </c>
    </row>
    <row r="1116" spans="1:1">
      <c r="A1116" s="2">
        <v>3.57</v>
      </c>
    </row>
    <row r="1117" spans="1:1">
      <c r="A1117" s="2">
        <v>3.55</v>
      </c>
    </row>
    <row r="1118" spans="1:1">
      <c r="A1118" s="2">
        <v>3.52</v>
      </c>
    </row>
    <row r="1119" spans="1:1">
      <c r="A1119" s="2">
        <v>3.52</v>
      </c>
    </row>
    <row r="1120" spans="1:1">
      <c r="A1120" s="2">
        <v>3.51</v>
      </c>
    </row>
    <row r="1121" spans="1:1">
      <c r="A1121" s="2">
        <v>3.64</v>
      </c>
    </row>
    <row r="1122" spans="1:1">
      <c r="A1122" s="2">
        <v>3.76</v>
      </c>
    </row>
    <row r="1123" spans="1:1">
      <c r="A1123" s="2">
        <v>3.52</v>
      </c>
    </row>
    <row r="1124" spans="1:1">
      <c r="A1124" s="2">
        <v>3.52</v>
      </c>
    </row>
    <row r="1125" spans="1:1">
      <c r="A1125" s="2">
        <v>3.66</v>
      </c>
    </row>
    <row r="1126" spans="1:1">
      <c r="A1126" s="2">
        <v>3.55</v>
      </c>
    </row>
    <row r="1127" spans="1:1">
      <c r="A1127" s="2">
        <v>3.52</v>
      </c>
    </row>
    <row r="1128" spans="1:1">
      <c r="A1128" s="2">
        <v>3.52</v>
      </c>
    </row>
    <row r="1129" spans="1:1">
      <c r="A1129" s="2">
        <v>3.61</v>
      </c>
    </row>
    <row r="1130" spans="1:1">
      <c r="A1130" s="2">
        <v>3.41</v>
      </c>
    </row>
    <row r="1131" spans="1:1">
      <c r="A1131" s="2">
        <v>3.51</v>
      </c>
    </row>
    <row r="1132" spans="1:1">
      <c r="A1132" s="2">
        <v>3.72</v>
      </c>
    </row>
    <row r="1133" spans="1:1">
      <c r="A1133" s="2">
        <v>3.72</v>
      </c>
    </row>
    <row r="1134" spans="1:1">
      <c r="A1134" s="2">
        <v>3.52</v>
      </c>
    </row>
    <row r="1135" spans="1:1">
      <c r="A1135" s="2">
        <v>3.55</v>
      </c>
    </row>
    <row r="1136" spans="1:1">
      <c r="A1136" s="2">
        <v>3.7</v>
      </c>
    </row>
    <row r="1137" spans="1:1">
      <c r="A1137" s="2">
        <v>3.52</v>
      </c>
    </row>
    <row r="1138" spans="1:1">
      <c r="A1138" s="2">
        <v>3.61</v>
      </c>
    </row>
    <row r="1139" spans="1:1">
      <c r="A1139" s="2">
        <v>3.52</v>
      </c>
    </row>
    <row r="1140" spans="1:1">
      <c r="A1140" s="2">
        <v>3.52</v>
      </c>
    </row>
    <row r="1141" spans="1:1">
      <c r="A1141" s="2">
        <v>3.59</v>
      </c>
    </row>
    <row r="1142" spans="1:1">
      <c r="A1142" s="2">
        <v>3.71</v>
      </c>
    </row>
    <row r="1143" spans="1:1">
      <c r="A1143" s="2">
        <v>3.59</v>
      </c>
    </row>
    <row r="1144" spans="1:1">
      <c r="A1144" s="2">
        <v>3.52</v>
      </c>
    </row>
    <row r="1145" spans="1:1">
      <c r="A1145" s="2">
        <v>3.71</v>
      </c>
    </row>
    <row r="1146" spans="1:1">
      <c r="A1146" s="2">
        <v>3.52</v>
      </c>
    </row>
    <row r="1147" spans="1:1">
      <c r="A1147" s="2">
        <v>3.52</v>
      </c>
    </row>
    <row r="1148" spans="1:1">
      <c r="A1148" s="2">
        <v>3.62</v>
      </c>
    </row>
    <row r="1149" spans="1:1">
      <c r="A1149" s="2">
        <v>3.52</v>
      </c>
    </row>
    <row r="1150" spans="1:1">
      <c r="A1150" s="2">
        <v>3.58</v>
      </c>
    </row>
    <row r="1151" spans="1:1">
      <c r="A1151" s="2">
        <v>3.61</v>
      </c>
    </row>
    <row r="1152" spans="1:1">
      <c r="A1152" s="2">
        <v>3.51</v>
      </c>
    </row>
    <row r="1153" spans="1:1">
      <c r="A1153" s="2">
        <v>3.51</v>
      </c>
    </row>
    <row r="1154" spans="1:1">
      <c r="A1154" s="2">
        <v>3.51</v>
      </c>
    </row>
    <row r="1155" spans="1:1">
      <c r="A1155" s="2">
        <v>3.53</v>
      </c>
    </row>
    <row r="1156" spans="1:1">
      <c r="A1156" s="2">
        <v>3.52</v>
      </c>
    </row>
    <row r="1157" spans="1:1">
      <c r="A1157" s="2">
        <v>3.52</v>
      </c>
    </row>
    <row r="1158" spans="1:1">
      <c r="A1158" s="2">
        <v>3.52</v>
      </c>
    </row>
    <row r="1159" spans="1:1">
      <c r="A1159" s="2">
        <v>3.52</v>
      </c>
    </row>
    <row r="1160" spans="1:1">
      <c r="A1160" s="2">
        <v>3.48</v>
      </c>
    </row>
    <row r="1161" spans="1:1">
      <c r="A1161" s="2">
        <v>3.52</v>
      </c>
    </row>
    <row r="1162" spans="1:1">
      <c r="A1162" s="2">
        <v>3.67</v>
      </c>
    </row>
    <row r="1163" spans="1:1">
      <c r="A1163" s="2">
        <v>3.57</v>
      </c>
    </row>
    <row r="1164" spans="1:1">
      <c r="A1164" s="2">
        <v>3.57</v>
      </c>
    </row>
    <row r="1165" spans="1:1">
      <c r="A1165" s="2">
        <v>3.46</v>
      </c>
    </row>
    <row r="1166" spans="1:1">
      <c r="A1166" s="2">
        <v>3.8</v>
      </c>
    </row>
    <row r="1167" spans="1:1">
      <c r="A1167" s="2">
        <v>3.52</v>
      </c>
    </row>
    <row r="1168" spans="1:1">
      <c r="A1168" s="2">
        <v>3.52</v>
      </c>
    </row>
    <row r="1169" spans="1:1">
      <c r="A1169" s="2">
        <v>3.78</v>
      </c>
    </row>
    <row r="1170" spans="1:1">
      <c r="A1170" s="2">
        <v>3.74</v>
      </c>
    </row>
    <row r="1171" spans="1:1">
      <c r="A1171" s="2">
        <v>3.52</v>
      </c>
    </row>
    <row r="1172" spans="1:1">
      <c r="A1172" s="2">
        <v>3.58</v>
      </c>
    </row>
    <row r="1173" spans="1:1">
      <c r="A1173" s="2">
        <v>3.74</v>
      </c>
    </row>
    <row r="1174" spans="1:1">
      <c r="A1174" s="2">
        <v>3.52</v>
      </c>
    </row>
    <row r="1175" spans="1:1">
      <c r="A1175" s="2">
        <v>3.48</v>
      </c>
    </row>
    <row r="1176" spans="1:1">
      <c r="A1176" s="2">
        <v>3.62</v>
      </c>
    </row>
    <row r="1177" spans="1:1">
      <c r="A1177" s="2">
        <v>3.52</v>
      </c>
    </row>
    <row r="1178" spans="1:1">
      <c r="A1178" s="2">
        <v>3.43</v>
      </c>
    </row>
    <row r="1179" spans="1:1">
      <c r="A1179" s="2">
        <v>3.54</v>
      </c>
    </row>
    <row r="1180" spans="1:1">
      <c r="A1180" s="2">
        <v>3.78</v>
      </c>
    </row>
    <row r="1181" spans="1:1">
      <c r="A1181" s="2">
        <v>3.54</v>
      </c>
    </row>
    <row r="1182" spans="1:1">
      <c r="A1182" s="2">
        <v>3.42</v>
      </c>
    </row>
    <row r="1183" spans="1:1">
      <c r="A1183" s="2">
        <v>3.45</v>
      </c>
    </row>
    <row r="1184" spans="1:1">
      <c r="A1184" s="2">
        <v>3.55</v>
      </c>
    </row>
    <row r="1185" spans="1:1">
      <c r="A1185" s="2">
        <v>3.58</v>
      </c>
    </row>
    <row r="1186" spans="1:1">
      <c r="A1186" s="2">
        <v>3.78</v>
      </c>
    </row>
    <row r="1187" spans="1:1">
      <c r="A1187" s="2">
        <v>3.71</v>
      </c>
    </row>
    <row r="1188" spans="1:1">
      <c r="A1188" s="2">
        <v>3.52</v>
      </c>
    </row>
    <row r="1189" spans="1:1">
      <c r="A1189" s="2">
        <v>3.77</v>
      </c>
    </row>
    <row r="1190" spans="1:1">
      <c r="A1190" s="2">
        <v>3.45</v>
      </c>
    </row>
    <row r="1191" spans="1:1">
      <c r="A1191" s="2">
        <v>3.52</v>
      </c>
    </row>
    <row r="1192" spans="1:1">
      <c r="A1192" s="2">
        <v>3.78</v>
      </c>
    </row>
    <row r="1193" spans="1:1">
      <c r="A1193" s="2">
        <v>3.5</v>
      </c>
    </row>
    <row r="1194" spans="1:1">
      <c r="A1194" s="2">
        <v>3.52</v>
      </c>
    </row>
    <row r="1195" spans="1:1">
      <c r="A1195" s="2">
        <v>3.67</v>
      </c>
    </row>
    <row r="1196" spans="1:1">
      <c r="A1196" s="2">
        <v>3.52</v>
      </c>
    </row>
    <row r="1197" spans="1:1">
      <c r="A1197" s="2">
        <v>3.45</v>
      </c>
    </row>
    <row r="1198" spans="1:1">
      <c r="A1198" s="2">
        <v>3.7</v>
      </c>
    </row>
    <row r="1199" spans="1:1">
      <c r="A1199" s="2">
        <v>3.62</v>
      </c>
    </row>
    <row r="1200" spans="1:1">
      <c r="A1200" s="2">
        <v>3.58</v>
      </c>
    </row>
    <row r="1201" spans="1:1">
      <c r="A1201" s="2">
        <v>3.58</v>
      </c>
    </row>
    <row r="1202" spans="1:1">
      <c r="A1202" s="2">
        <v>3.78</v>
      </c>
    </row>
    <row r="1203" spans="1:1">
      <c r="A1203" s="2">
        <v>3.64</v>
      </c>
    </row>
    <row r="1204" spans="1:1">
      <c r="A1204" s="2">
        <v>3.81</v>
      </c>
    </row>
    <row r="1205" spans="1:1">
      <c r="A1205" s="2">
        <v>3.52</v>
      </c>
    </row>
    <row r="1206" spans="1:1">
      <c r="A1206" s="2">
        <v>3.5</v>
      </c>
    </row>
    <row r="1207" spans="1:1">
      <c r="A1207" s="2">
        <v>3.52</v>
      </c>
    </row>
    <row r="1208" spans="1:1">
      <c r="A1208" s="2">
        <v>3.52</v>
      </c>
    </row>
    <row r="1209" spans="1:1">
      <c r="A1209" s="2">
        <v>3.61</v>
      </c>
    </row>
    <row r="1210" spans="1:1">
      <c r="A1210" s="2">
        <v>3.6</v>
      </c>
    </row>
    <row r="1211" spans="1:1">
      <c r="A1211" s="2">
        <v>3.52</v>
      </c>
    </row>
    <row r="1212" spans="1:1">
      <c r="A1212" s="2">
        <v>3.51</v>
      </c>
    </row>
    <row r="1213" spans="1:1">
      <c r="A1213" s="2">
        <v>3.74</v>
      </c>
    </row>
    <row r="1214" spans="1:1">
      <c r="A1214" s="2">
        <v>3.61</v>
      </c>
    </row>
    <row r="1215" spans="1:1">
      <c r="A1215" s="2">
        <v>3.51</v>
      </c>
    </row>
    <row r="1216" spans="1:1">
      <c r="A1216" s="2">
        <v>3.47</v>
      </c>
    </row>
    <row r="1217" spans="1:1">
      <c r="A1217" s="2">
        <v>3.78</v>
      </c>
    </row>
    <row r="1218" spans="1:1">
      <c r="A1218" s="2">
        <v>3.57</v>
      </c>
    </row>
    <row r="1219" spans="1:1">
      <c r="A1219" s="2">
        <v>3.52</v>
      </c>
    </row>
    <row r="1220" spans="1:1">
      <c r="A1220" s="2">
        <v>3.52</v>
      </c>
    </row>
    <row r="1221" spans="1:1">
      <c r="A1221" s="2">
        <v>3.55</v>
      </c>
    </row>
    <row r="1222" spans="1:1">
      <c r="A1222" s="2">
        <v>3.43</v>
      </c>
    </row>
    <row r="1223" spans="1:1">
      <c r="A1223" s="2">
        <v>3.74</v>
      </c>
    </row>
    <row r="1224" spans="1:1">
      <c r="A1224" s="2">
        <v>3.52</v>
      </c>
    </row>
    <row r="1225" spans="1:1">
      <c r="A1225" s="2">
        <v>3.52</v>
      </c>
    </row>
    <row r="1226" spans="1:1">
      <c r="A1226" s="2">
        <v>3.52</v>
      </c>
    </row>
    <row r="1227" spans="1:1">
      <c r="A1227" s="2">
        <v>3.73</v>
      </c>
    </row>
    <row r="1228" spans="1:1">
      <c r="A1228" s="2">
        <v>3.52</v>
      </c>
    </row>
    <row r="1229" spans="1:1">
      <c r="A1229" s="2">
        <v>3.56</v>
      </c>
    </row>
    <row r="1230" spans="1:1">
      <c r="A1230" s="2">
        <v>3.78</v>
      </c>
    </row>
    <row r="1231" spans="1:1">
      <c r="A1231" s="2">
        <v>3.5</v>
      </c>
    </row>
    <row r="1232" spans="1:1">
      <c r="A1232" s="2">
        <v>3.5</v>
      </c>
    </row>
    <row r="1233" spans="1:1">
      <c r="A1233" s="2">
        <v>3.75</v>
      </c>
    </row>
    <row r="1234" spans="1:1">
      <c r="A1234" s="2">
        <v>3.51</v>
      </c>
    </row>
    <row r="1235" spans="1:1">
      <c r="A1235" s="2">
        <v>3.52</v>
      </c>
    </row>
    <row r="1236" spans="1:1">
      <c r="A1236" s="2">
        <v>3.52</v>
      </c>
    </row>
    <row r="1237" spans="1:1">
      <c r="A1237" s="2">
        <v>3.49</v>
      </c>
    </row>
    <row r="1238" spans="1:1">
      <c r="A1238" s="2">
        <v>3.68</v>
      </c>
    </row>
    <row r="1239" spans="1:1">
      <c r="A1239" s="2">
        <v>3.52</v>
      </c>
    </row>
    <row r="1240" spans="1:1">
      <c r="A1240" s="2">
        <v>3.76</v>
      </c>
    </row>
    <row r="1241" spans="1:1">
      <c r="A1241" s="2">
        <v>3.43</v>
      </c>
    </row>
    <row r="1242" spans="1:1">
      <c r="A1242" s="2">
        <v>3.52</v>
      </c>
    </row>
    <row r="1243" spans="1:1">
      <c r="A1243" s="2">
        <v>3.52</v>
      </c>
    </row>
    <row r="1244" spans="1:1">
      <c r="A1244" s="2">
        <v>3.42</v>
      </c>
    </row>
    <row r="1245" spans="1:1">
      <c r="A1245" s="2">
        <v>3.56</v>
      </c>
    </row>
    <row r="1246" spans="1:1">
      <c r="A1246" s="2">
        <v>3.55</v>
      </c>
    </row>
    <row r="1247" spans="1:1">
      <c r="A1247" s="2">
        <v>3.52</v>
      </c>
    </row>
    <row r="1248" spans="1:1">
      <c r="A1248" s="2">
        <v>3.52</v>
      </c>
    </row>
    <row r="1249" spans="1:1">
      <c r="A1249" s="2">
        <v>3.71</v>
      </c>
    </row>
    <row r="1250" spans="1:1">
      <c r="A1250" s="2">
        <v>3.6</v>
      </c>
    </row>
    <row r="1251" spans="1:1">
      <c r="A1251" s="2">
        <v>3.48</v>
      </c>
    </row>
    <row r="1252" spans="1:1">
      <c r="A1252" s="2">
        <v>3.62</v>
      </c>
    </row>
    <row r="1253" spans="1:1">
      <c r="A1253" s="2">
        <v>3.74</v>
      </c>
    </row>
    <row r="1254" spans="1:1">
      <c r="A1254" s="2">
        <v>3.67</v>
      </c>
    </row>
    <row r="1255" spans="1:1">
      <c r="A1255" s="2">
        <v>3.49</v>
      </c>
    </row>
    <row r="1256" spans="1:1">
      <c r="A1256" s="2">
        <v>3.68</v>
      </c>
    </row>
    <row r="1257" spans="1:1">
      <c r="A1257" s="2">
        <v>3.52</v>
      </c>
    </row>
    <row r="1258" spans="1:1">
      <c r="A1258" s="2">
        <v>3.71</v>
      </c>
    </row>
    <row r="1259" spans="1:1">
      <c r="A1259" s="2">
        <v>3.52</v>
      </c>
    </row>
    <row r="1260" spans="1:1">
      <c r="A1260" s="2">
        <v>3.64</v>
      </c>
    </row>
    <row r="1261" spans="1:1">
      <c r="A1261" s="2">
        <v>3.79</v>
      </c>
    </row>
    <row r="1262" spans="1:1">
      <c r="A1262" s="2">
        <v>3.52</v>
      </c>
    </row>
    <row r="1263" spans="1:1">
      <c r="A1263" s="2">
        <v>3.53</v>
      </c>
    </row>
    <row r="1264" spans="1:1">
      <c r="A1264" s="2">
        <v>3.68</v>
      </c>
    </row>
    <row r="1265" spans="1:1">
      <c r="A1265" s="2">
        <v>3.52</v>
      </c>
    </row>
    <row r="1266" spans="1:1">
      <c r="A1266" s="2">
        <v>3.52</v>
      </c>
    </row>
    <row r="1267" spans="1:1">
      <c r="A1267" s="2">
        <v>3.78</v>
      </c>
    </row>
    <row r="1268" spans="1:1">
      <c r="A1268" s="2">
        <v>3.67</v>
      </c>
    </row>
    <row r="1269" spans="1:1">
      <c r="A1269" s="2">
        <v>3.6</v>
      </c>
    </row>
    <row r="1270" spans="1:1">
      <c r="A1270" s="2">
        <v>3.76</v>
      </c>
    </row>
    <row r="1271" spans="1:1">
      <c r="A1271" s="2">
        <v>3.52</v>
      </c>
    </row>
    <row r="1272" spans="1:1">
      <c r="A1272" s="2">
        <v>3.52</v>
      </c>
    </row>
    <row r="1273" spans="1:1">
      <c r="A1273" s="2">
        <v>3.52</v>
      </c>
    </row>
    <row r="1274" spans="1:1">
      <c r="A1274" s="2">
        <v>3.52</v>
      </c>
    </row>
    <row r="1275" spans="1:1">
      <c r="A1275" s="2">
        <v>3.67</v>
      </c>
    </row>
    <row r="1276" spans="1:1">
      <c r="A1276" s="2">
        <v>3.59</v>
      </c>
    </row>
    <row r="1277" spans="1:1">
      <c r="A1277" s="2">
        <v>3.52</v>
      </c>
    </row>
    <row r="1278" spans="1:1">
      <c r="A1278" s="2">
        <v>3.71</v>
      </c>
    </row>
    <row r="1279" spans="1:1">
      <c r="A1279" s="2">
        <v>3.76</v>
      </c>
    </row>
    <row r="1280" spans="1:1">
      <c r="A1280" s="2">
        <v>3.52</v>
      </c>
    </row>
    <row r="1281" spans="1:1">
      <c r="A1281" s="2">
        <v>3.57</v>
      </c>
    </row>
    <row r="1282" spans="1:1">
      <c r="A1282" s="2">
        <v>3.49</v>
      </c>
    </row>
    <row r="1283" spans="1:1">
      <c r="A1283" s="2">
        <v>3.52</v>
      </c>
    </row>
    <row r="1284" spans="1:1">
      <c r="A1284" s="2">
        <v>3.52</v>
      </c>
    </row>
    <row r="1285" spans="1:1">
      <c r="A1285" s="2">
        <v>3.78</v>
      </c>
    </row>
    <row r="1286" spans="1:1">
      <c r="A1286" s="2">
        <v>3.52</v>
      </c>
    </row>
    <row r="1287" spans="1:1">
      <c r="A1287" s="2">
        <v>3.52</v>
      </c>
    </row>
    <row r="1288" spans="1:1">
      <c r="A1288" s="2">
        <v>3.65</v>
      </c>
    </row>
    <row r="1289" spans="1:1">
      <c r="A1289" s="2">
        <v>3.52</v>
      </c>
    </row>
    <row r="1290" spans="1:1">
      <c r="A1290" s="2">
        <v>3.79</v>
      </c>
    </row>
    <row r="1291" spans="1:1">
      <c r="A1291" s="2">
        <v>3.59</v>
      </c>
    </row>
    <row r="1292" spans="1:1">
      <c r="A1292" s="2">
        <v>3.52</v>
      </c>
    </row>
    <row r="1293" spans="1:1">
      <c r="A1293" s="2">
        <v>3.42</v>
      </c>
    </row>
    <row r="1294" spans="1:1">
      <c r="A1294" s="2">
        <v>3.51</v>
      </c>
    </row>
    <row r="1295" spans="1:1">
      <c r="A1295" s="2">
        <v>3.69</v>
      </c>
    </row>
    <row r="1296" spans="1:1">
      <c r="A1296" s="2">
        <v>3.52</v>
      </c>
    </row>
    <row r="1297" spans="1:1">
      <c r="A1297" s="2">
        <v>3.52</v>
      </c>
    </row>
    <row r="1298" spans="1:1">
      <c r="A1298" s="2">
        <v>3.52</v>
      </c>
    </row>
    <row r="1299" spans="1:1">
      <c r="A1299" s="2">
        <v>3.52</v>
      </c>
    </row>
    <row r="1300" spans="1:1">
      <c r="A1300" s="2">
        <v>3.52</v>
      </c>
    </row>
    <row r="1301" spans="1:1">
      <c r="A1301" s="2">
        <v>3.52</v>
      </c>
    </row>
    <row r="1302" spans="1:1">
      <c r="A1302" s="2">
        <v>3.71</v>
      </c>
    </row>
    <row r="1303" spans="1:1">
      <c r="A1303" s="2">
        <v>3.52</v>
      </c>
    </row>
    <row r="1304" spans="1:1">
      <c r="A1304" s="2">
        <v>3.66</v>
      </c>
    </row>
    <row r="1305" spans="1:1">
      <c r="A1305" s="2">
        <v>3.44</v>
      </c>
    </row>
    <row r="1306" spans="1:1">
      <c r="A1306" s="2">
        <v>3.78</v>
      </c>
    </row>
    <row r="1307" spans="1:1">
      <c r="A1307" s="2">
        <v>3.56</v>
      </c>
    </row>
    <row r="1308" spans="1:1">
      <c r="A1308" s="2">
        <v>3.52</v>
      </c>
    </row>
    <row r="1309" spans="1:1">
      <c r="A1309" s="2">
        <v>3.52</v>
      </c>
    </row>
    <row r="1310" spans="1:1">
      <c r="A1310" s="2">
        <v>3.52</v>
      </c>
    </row>
    <row r="1311" spans="1:1">
      <c r="A1311" s="2">
        <v>3.49</v>
      </c>
    </row>
    <row r="1312" spans="1:1">
      <c r="A1312" s="2">
        <v>3.52</v>
      </c>
    </row>
    <row r="1313" spans="1:1">
      <c r="A1313" s="2">
        <v>3.52</v>
      </c>
    </row>
    <row r="1314" spans="1:1">
      <c r="A1314" s="2">
        <v>3.57</v>
      </c>
    </row>
    <row r="1315" spans="1:1">
      <c r="A1315" s="2">
        <v>3.51</v>
      </c>
    </row>
    <row r="1316" spans="1:1">
      <c r="A1316" s="2">
        <v>3.45</v>
      </c>
    </row>
    <row r="1317" spans="1:1">
      <c r="A1317" s="2">
        <v>3.69</v>
      </c>
    </row>
    <row r="1318" spans="1:1">
      <c r="A1318" s="2">
        <v>3.52</v>
      </c>
    </row>
    <row r="1319" spans="1:1">
      <c r="A1319" s="2">
        <v>3.76</v>
      </c>
    </row>
    <row r="1320" spans="1:1">
      <c r="A1320" s="2">
        <v>3.67</v>
      </c>
    </row>
    <row r="1321" spans="1:1">
      <c r="A1321" s="2">
        <v>3.68</v>
      </c>
    </row>
    <row r="1322" spans="1:1">
      <c r="A1322" s="2">
        <v>3.81</v>
      </c>
    </row>
    <row r="1323" spans="1:1">
      <c r="A1323" s="2">
        <v>3.69</v>
      </c>
    </row>
    <row r="1324" spans="1:1">
      <c r="A1324" s="2">
        <v>3.52</v>
      </c>
    </row>
    <row r="1325" spans="1:1">
      <c r="A1325" s="2">
        <v>3.78</v>
      </c>
    </row>
    <row r="1326" spans="1:1">
      <c r="A1326" s="2">
        <v>3.52</v>
      </c>
    </row>
    <row r="1327" spans="1:1">
      <c r="A1327" s="2">
        <v>3.73</v>
      </c>
    </row>
    <row r="1328" spans="1:1">
      <c r="A1328" s="2">
        <v>3.78</v>
      </c>
    </row>
    <row r="1329" spans="1:1">
      <c r="A1329" s="2">
        <v>3.6</v>
      </c>
    </row>
    <row r="1330" spans="1:1">
      <c r="A1330" s="2">
        <v>3.52</v>
      </c>
    </row>
    <row r="1331" spans="1:1">
      <c r="A1331" s="2">
        <v>3.52</v>
      </c>
    </row>
    <row r="1332" spans="1:1">
      <c r="A1332" s="2">
        <v>3.7</v>
      </c>
    </row>
    <row r="1333" spans="1:1">
      <c r="A1333" s="2">
        <v>3.63</v>
      </c>
    </row>
    <row r="1334" spans="1:1">
      <c r="A1334" s="2">
        <v>3.52</v>
      </c>
    </row>
    <row r="1335" spans="1:1">
      <c r="A1335" s="2">
        <v>3.52</v>
      </c>
    </row>
    <row r="1336" spans="1:1">
      <c r="A1336" s="2">
        <v>3.53</v>
      </c>
    </row>
    <row r="1337" spans="1:1">
      <c r="A1337" s="2">
        <v>3.52</v>
      </c>
    </row>
    <row r="1338" spans="1:1">
      <c r="A1338" s="2">
        <v>3.52</v>
      </c>
    </row>
    <row r="1339" spans="1:1">
      <c r="A1339" s="2">
        <v>3.78</v>
      </c>
    </row>
    <row r="1340" spans="1:1">
      <c r="A1340" s="2">
        <v>3.45</v>
      </c>
    </row>
    <row r="1341" spans="1:1">
      <c r="A1341" s="2">
        <v>3.72</v>
      </c>
    </row>
    <row r="1342" spans="1:1">
      <c r="A1342" s="2">
        <v>3.52</v>
      </c>
    </row>
    <row r="1343" spans="1:1">
      <c r="A1343" s="2">
        <v>3.52</v>
      </c>
    </row>
    <row r="1344" spans="1:1">
      <c r="A1344" s="2">
        <v>3.43</v>
      </c>
    </row>
    <row r="1345" spans="1:1">
      <c r="A1345" s="2">
        <v>3.52</v>
      </c>
    </row>
    <row r="1346" spans="1:1">
      <c r="A1346" s="2">
        <v>3.52</v>
      </c>
    </row>
    <row r="1347" spans="1:1">
      <c r="A1347" s="2">
        <v>3.52</v>
      </c>
    </row>
    <row r="1348" spans="1:1">
      <c r="A1348" s="2">
        <v>3.76</v>
      </c>
    </row>
    <row r="1349" spans="1:1">
      <c r="A1349" s="2">
        <v>3.43</v>
      </c>
    </row>
    <row r="1350" spans="1:1">
      <c r="A1350" s="2">
        <v>3.52</v>
      </c>
    </row>
    <row r="1351" spans="1:1">
      <c r="A1351" s="2">
        <v>3.51</v>
      </c>
    </row>
    <row r="1352" spans="1:1">
      <c r="A1352" s="2">
        <v>3.52</v>
      </c>
    </row>
    <row r="1353" spans="1:1">
      <c r="A1353" s="2">
        <v>3.61</v>
      </c>
    </row>
    <row r="1354" spans="1:1">
      <c r="A1354" s="2">
        <v>3.61</v>
      </c>
    </row>
    <row r="1355" spans="1:1">
      <c r="A1355" s="2">
        <v>3.65</v>
      </c>
    </row>
    <row r="1356" spans="1:1">
      <c r="A1356" s="2">
        <v>3.69</v>
      </c>
    </row>
    <row r="1357" spans="1:1">
      <c r="A1357" s="2">
        <v>3.52</v>
      </c>
    </row>
    <row r="1358" spans="1:1">
      <c r="A1358" s="2">
        <v>3.52</v>
      </c>
    </row>
    <row r="1359" spans="1:1">
      <c r="A1359" s="2">
        <v>3.72</v>
      </c>
    </row>
    <row r="1360" spans="1:1">
      <c r="A1360" s="2">
        <v>3.55</v>
      </c>
    </row>
    <row r="1361" spans="1:1">
      <c r="A1361" s="2">
        <v>3.7</v>
      </c>
    </row>
    <row r="1362" spans="1:1">
      <c r="A1362" s="2">
        <v>3.52</v>
      </c>
    </row>
    <row r="1363" spans="1:1">
      <c r="A1363" s="2">
        <v>3.58</v>
      </c>
    </row>
    <row r="1364" spans="1:1">
      <c r="A1364" s="2">
        <v>3.59</v>
      </c>
    </row>
    <row r="1365" spans="1:1">
      <c r="A1365" s="2">
        <v>3.63</v>
      </c>
    </row>
    <row r="1366" spans="1:1">
      <c r="A1366" s="2">
        <v>3.52</v>
      </c>
    </row>
    <row r="1367" spans="1:1">
      <c r="A1367" s="2">
        <v>3.47</v>
      </c>
    </row>
    <row r="1368" spans="1:1">
      <c r="A1368" s="2">
        <v>3.43</v>
      </c>
    </row>
    <row r="1369" spans="1:1">
      <c r="A1369" s="2">
        <v>3.47</v>
      </c>
    </row>
    <row r="1370" spans="1:1">
      <c r="A1370" s="2">
        <v>3.52</v>
      </c>
    </row>
    <row r="1371" spans="1:1">
      <c r="A1371" s="2">
        <v>3.48</v>
      </c>
    </row>
    <row r="1372" spans="1:1">
      <c r="A1372" s="2">
        <v>3.52</v>
      </c>
    </row>
    <row r="1373" spans="1:1">
      <c r="A1373" s="2">
        <v>3.67</v>
      </c>
    </row>
    <row r="1374" spans="1:1">
      <c r="A1374" s="2">
        <v>3.53</v>
      </c>
    </row>
    <row r="1375" spans="1:1">
      <c r="A1375" s="2">
        <v>3.72</v>
      </c>
    </row>
    <row r="1376" spans="1:1">
      <c r="A1376" s="2">
        <v>3.73</v>
      </c>
    </row>
    <row r="1377" spans="1:1">
      <c r="A1377" s="2">
        <v>3.52</v>
      </c>
    </row>
    <row r="1378" spans="1:1">
      <c r="A1378" s="2">
        <v>3.52</v>
      </c>
    </row>
    <row r="1379" spans="1:1">
      <c r="A1379" s="2">
        <v>3.63</v>
      </c>
    </row>
    <row r="1380" spans="1:1">
      <c r="A1380" s="2">
        <v>3.52</v>
      </c>
    </row>
    <row r="1381" spans="1:1">
      <c r="A1381" s="2">
        <v>3.52</v>
      </c>
    </row>
    <row r="1382" spans="1:1">
      <c r="A1382" s="2">
        <v>3.44</v>
      </c>
    </row>
    <row r="1383" spans="1:1">
      <c r="A1383" s="2">
        <v>3.61</v>
      </c>
    </row>
    <row r="1384" spans="1:1">
      <c r="A1384" s="2">
        <v>3.52</v>
      </c>
    </row>
    <row r="1385" spans="1:1">
      <c r="A1385" s="2">
        <v>3.52</v>
      </c>
    </row>
    <row r="1386" spans="1:1">
      <c r="A1386" s="2">
        <v>3.78</v>
      </c>
    </row>
    <row r="1387" spans="1:1">
      <c r="A1387" s="2">
        <v>3.73</v>
      </c>
    </row>
    <row r="1388" spans="1:1">
      <c r="A1388" s="2">
        <v>3.49</v>
      </c>
    </row>
    <row r="1389" spans="1:1">
      <c r="A1389" s="2">
        <v>3.59</v>
      </c>
    </row>
    <row r="1390" spans="1:1">
      <c r="A1390" s="2">
        <v>3.66</v>
      </c>
    </row>
    <row r="1391" spans="1:1">
      <c r="A1391" s="2">
        <v>3.76</v>
      </c>
    </row>
    <row r="1392" spans="1:1">
      <c r="A1392" s="2">
        <v>3.41</v>
      </c>
    </row>
    <row r="1393" spans="1:1">
      <c r="A1393" s="2">
        <v>3.63</v>
      </c>
    </row>
    <row r="1394" spans="1:1">
      <c r="A1394" s="2">
        <v>3.53</v>
      </c>
    </row>
    <row r="1395" spans="1:1">
      <c r="A1395" s="2">
        <v>3.63</v>
      </c>
    </row>
    <row r="1396" spans="1:1">
      <c r="A1396" s="2">
        <v>3.64</v>
      </c>
    </row>
    <row r="1397" spans="1:1">
      <c r="A1397" s="2">
        <v>3.69</v>
      </c>
    </row>
    <row r="1398" spans="1:1">
      <c r="A1398" s="2">
        <v>3.52</v>
      </c>
    </row>
    <row r="1399" spans="1:1">
      <c r="A1399" s="2">
        <v>3.52</v>
      </c>
    </row>
    <row r="1400" spans="1:1">
      <c r="A1400" s="2">
        <v>3.52</v>
      </c>
    </row>
    <row r="1401" spans="1:1">
      <c r="A1401" s="2">
        <v>3.52</v>
      </c>
    </row>
    <row r="1402" spans="1:1">
      <c r="A1402" s="2">
        <v>3.52</v>
      </c>
    </row>
    <row r="1403" spans="1:1">
      <c r="A1403" s="2">
        <v>3.52</v>
      </c>
    </row>
    <row r="1404" spans="1:1">
      <c r="A1404" s="2">
        <v>3.48</v>
      </c>
    </row>
    <row r="1405" spans="1:1">
      <c r="A1405" s="2">
        <v>3.52</v>
      </c>
    </row>
    <row r="1406" spans="1:1">
      <c r="A1406" s="2">
        <v>3.79</v>
      </c>
    </row>
    <row r="1407" spans="1:1">
      <c r="A1407" s="2">
        <v>3.52</v>
      </c>
    </row>
    <row r="1408" spans="1:1">
      <c r="A1408" s="2">
        <v>3.52</v>
      </c>
    </row>
    <row r="1409" spans="1:1">
      <c r="A1409" s="2">
        <v>3.52</v>
      </c>
    </row>
    <row r="1410" spans="1:1">
      <c r="A1410" s="2">
        <v>3.52</v>
      </c>
    </row>
    <row r="1411" spans="1:1">
      <c r="A1411" s="2">
        <v>3.79</v>
      </c>
    </row>
    <row r="1412" spans="1:1">
      <c r="A1412" s="2">
        <v>3.52</v>
      </c>
    </row>
    <row r="1413" spans="1:1">
      <c r="A1413" s="2">
        <v>3.79</v>
      </c>
    </row>
    <row r="1414" spans="1:1">
      <c r="A1414" s="2">
        <v>3.52</v>
      </c>
    </row>
    <row r="1415" spans="1:1">
      <c r="A1415" s="2">
        <v>3.52</v>
      </c>
    </row>
    <row r="1416" spans="1:1">
      <c r="A1416" s="2">
        <v>3.55</v>
      </c>
    </row>
    <row r="1417" spans="1:1">
      <c r="A1417" s="2">
        <v>3.79</v>
      </c>
    </row>
    <row r="1418" spans="1:1">
      <c r="A1418" s="2">
        <v>3.52</v>
      </c>
    </row>
    <row r="1419" spans="1:1">
      <c r="A1419" s="2">
        <v>3.54</v>
      </c>
    </row>
    <row r="1420" spans="1:1">
      <c r="A1420" s="2">
        <v>3.52</v>
      </c>
    </row>
    <row r="1421" spans="1:1">
      <c r="A1421" s="2">
        <v>3.42</v>
      </c>
    </row>
    <row r="1422" spans="1:1">
      <c r="A1422" s="2">
        <v>3.52</v>
      </c>
    </row>
    <row r="1423" spans="1:1">
      <c r="A1423" s="2">
        <v>3.51</v>
      </c>
    </row>
    <row r="1424" spans="1:1">
      <c r="A1424" s="2">
        <v>3.6</v>
      </c>
    </row>
    <row r="1425" spans="1:1">
      <c r="A1425" s="2">
        <v>3.52</v>
      </c>
    </row>
    <row r="1426" spans="1:1">
      <c r="A1426" s="2">
        <v>3.81</v>
      </c>
    </row>
    <row r="1427" spans="1:1">
      <c r="A1427" s="2">
        <v>3.42</v>
      </c>
    </row>
    <row r="1428" spans="1:1">
      <c r="A1428" s="2">
        <v>3.52</v>
      </c>
    </row>
    <row r="1429" spans="1:1">
      <c r="A1429" s="2">
        <v>3.52</v>
      </c>
    </row>
    <row r="1430" spans="1:1">
      <c r="A1430" s="2">
        <v>3.68</v>
      </c>
    </row>
    <row r="1431" spans="1:1">
      <c r="A1431" s="2">
        <v>3.51</v>
      </c>
    </row>
    <row r="1432" spans="1:1">
      <c r="A1432" s="2">
        <v>3.47</v>
      </c>
    </row>
    <row r="1433" spans="1:1">
      <c r="A1433" s="2">
        <v>3.78</v>
      </c>
    </row>
    <row r="1434" spans="1:1">
      <c r="A1434" s="2">
        <v>3.52</v>
      </c>
    </row>
    <row r="1435" spans="1:1">
      <c r="A1435" s="2">
        <v>3.78</v>
      </c>
    </row>
    <row r="1436" spans="1:1">
      <c r="A1436" s="2">
        <v>3.78</v>
      </c>
    </row>
    <row r="1437" spans="1:1">
      <c r="A1437" s="2">
        <v>3.44</v>
      </c>
    </row>
    <row r="1438" spans="1:1">
      <c r="A1438" s="2">
        <v>3.78</v>
      </c>
    </row>
    <row r="1439" spans="1:1">
      <c r="A1439" s="2">
        <v>3.52</v>
      </c>
    </row>
    <row r="1440" spans="1:1">
      <c r="A1440" s="2">
        <v>3.52</v>
      </c>
    </row>
    <row r="1441" spans="1:1">
      <c r="A1441" s="2">
        <v>3.52</v>
      </c>
    </row>
    <row r="1442" spans="1:1">
      <c r="A1442" s="2">
        <v>3.44</v>
      </c>
    </row>
    <row r="1443" spans="1:1">
      <c r="A1443" s="2">
        <v>3.76</v>
      </c>
    </row>
    <row r="1444" spans="1:1">
      <c r="A1444" s="2">
        <v>3.78</v>
      </c>
    </row>
    <row r="1445" spans="1:1">
      <c r="A1445" s="2">
        <v>3.52</v>
      </c>
    </row>
    <row r="1446" spans="1:1">
      <c r="A1446" s="2">
        <v>3.52</v>
      </c>
    </row>
    <row r="1447" spans="1:1">
      <c r="A1447" s="2">
        <v>3.47</v>
      </c>
    </row>
    <row r="1448" spans="1:1">
      <c r="A1448" s="2">
        <v>3.52</v>
      </c>
    </row>
    <row r="1449" spans="1:1">
      <c r="A1449" s="2">
        <v>3.8</v>
      </c>
    </row>
    <row r="1450" spans="1:1">
      <c r="A1450" s="2">
        <v>3.54</v>
      </c>
    </row>
    <row r="1451" spans="1:1">
      <c r="A1451" s="2">
        <v>3.52</v>
      </c>
    </row>
    <row r="1452" spans="1:1">
      <c r="A1452" s="2">
        <v>3.49</v>
      </c>
    </row>
    <row r="1453" spans="1:1">
      <c r="A1453" s="2">
        <v>3.6</v>
      </c>
    </row>
    <row r="1454" spans="1:1">
      <c r="A1454" s="2">
        <v>3.51</v>
      </c>
    </row>
    <row r="1455" spans="1:1">
      <c r="A1455" s="2">
        <v>3.78</v>
      </c>
    </row>
    <row r="1456" spans="1:1">
      <c r="A1456" s="2">
        <v>3.42</v>
      </c>
    </row>
    <row r="1457" spans="1:1">
      <c r="A1457" s="2">
        <v>3.44</v>
      </c>
    </row>
    <row r="1458" spans="1:1">
      <c r="A1458" s="2">
        <v>3.66</v>
      </c>
    </row>
    <row r="1459" spans="1:1">
      <c r="A1459" s="2">
        <v>3.52</v>
      </c>
    </row>
    <row r="1460" spans="1:1">
      <c r="A1460" s="2">
        <v>3.52</v>
      </c>
    </row>
    <row r="1461" spans="1:1">
      <c r="A1461" s="2">
        <v>3.52</v>
      </c>
    </row>
    <row r="1462" spans="1:1">
      <c r="A1462" s="2">
        <v>3.58</v>
      </c>
    </row>
    <row r="1463" spans="1:1">
      <c r="A1463" s="2">
        <v>3.76</v>
      </c>
    </row>
    <row r="1464" spans="1:1">
      <c r="A1464" s="2">
        <v>3.78</v>
      </c>
    </row>
    <row r="1465" spans="1:1">
      <c r="A1465" s="2">
        <v>3.47</v>
      </c>
    </row>
    <row r="1466" spans="1:1">
      <c r="A1466" s="2">
        <v>3.5</v>
      </c>
    </row>
    <row r="1467" spans="1:1">
      <c r="A1467" s="2">
        <v>3.46</v>
      </c>
    </row>
    <row r="1468" spans="1:1">
      <c r="A1468" s="2">
        <v>3.78</v>
      </c>
    </row>
    <row r="1469" spans="1:1">
      <c r="A1469" s="2">
        <v>3.52</v>
      </c>
    </row>
    <row r="1470" spans="1:1">
      <c r="A1470" s="2">
        <v>3.66</v>
      </c>
    </row>
    <row r="1471" spans="1:1">
      <c r="A1471" s="2">
        <v>3.52</v>
      </c>
    </row>
    <row r="1472" spans="1:1">
      <c r="A1472" s="2">
        <v>3.52</v>
      </c>
    </row>
    <row r="1473" spans="1:1">
      <c r="A1473" s="2">
        <v>3.45</v>
      </c>
    </row>
    <row r="1474" spans="1:1">
      <c r="A1474" s="2">
        <v>3.52</v>
      </c>
    </row>
    <row r="1475" spans="1:1">
      <c r="A1475" s="2">
        <v>3.52</v>
      </c>
    </row>
    <row r="1476" spans="1:1">
      <c r="A1476" s="2">
        <v>3.78</v>
      </c>
    </row>
    <row r="1477" spans="1:1">
      <c r="A1477" s="2">
        <v>3.73</v>
      </c>
    </row>
    <row r="1478" spans="1:1">
      <c r="A1478" s="2">
        <v>3.78</v>
      </c>
    </row>
    <row r="1479" spans="1:1">
      <c r="A1479" s="2">
        <v>3.62</v>
      </c>
    </row>
    <row r="1480" spans="1:1">
      <c r="A1480" s="2">
        <v>3.52</v>
      </c>
    </row>
    <row r="1481" spans="1:1">
      <c r="A1481" s="2">
        <v>3.52</v>
      </c>
    </row>
    <row r="1482" spans="1:1">
      <c r="A1482" s="2">
        <v>3.51</v>
      </c>
    </row>
    <row r="1483" spans="1:1">
      <c r="A1483" s="2">
        <v>3.52</v>
      </c>
    </row>
    <row r="1484" spans="1:1">
      <c r="A1484" s="2">
        <v>3.58</v>
      </c>
    </row>
    <row r="1485" spans="1:1">
      <c r="A1485" s="2">
        <v>3.47</v>
      </c>
    </row>
    <row r="1486" spans="1:1">
      <c r="A1486" s="2">
        <v>3.8</v>
      </c>
    </row>
    <row r="1487" spans="1:1">
      <c r="A1487" s="2">
        <v>3.52</v>
      </c>
    </row>
    <row r="1488" spans="1:1">
      <c r="A1488" s="2">
        <v>3.52</v>
      </c>
    </row>
    <row r="1489" spans="1:1">
      <c r="A1489" s="2">
        <v>3.57</v>
      </c>
    </row>
    <row r="1490" spans="1:1">
      <c r="A1490" s="2">
        <v>3.52</v>
      </c>
    </row>
    <row r="1491" spans="1:1">
      <c r="A1491" s="2">
        <v>3.52</v>
      </c>
    </row>
    <row r="1492" spans="1:1">
      <c r="A1492" s="2">
        <v>3.49</v>
      </c>
    </row>
    <row r="1493" spans="1:1">
      <c r="A1493" s="2">
        <v>3.65</v>
      </c>
    </row>
    <row r="1494" spans="1:1">
      <c r="A1494" s="2">
        <v>3.52</v>
      </c>
    </row>
    <row r="1495" spans="1:1">
      <c r="A1495" s="2">
        <v>3.73</v>
      </c>
    </row>
    <row r="1496" spans="1:1">
      <c r="A1496" s="2">
        <v>3.74</v>
      </c>
    </row>
    <row r="1497" spans="1:1">
      <c r="A1497" s="2">
        <v>3.47</v>
      </c>
    </row>
    <row r="1498" spans="1:1">
      <c r="A1498" s="2">
        <v>3.79</v>
      </c>
    </row>
    <row r="1499" spans="1:1">
      <c r="A1499" s="2">
        <v>3.52</v>
      </c>
    </row>
    <row r="1500" spans="1:1">
      <c r="A1500" s="2">
        <v>3.52</v>
      </c>
    </row>
    <row r="1501" spans="1:1">
      <c r="A1501" s="2">
        <v>3.5</v>
      </c>
    </row>
    <row r="1502" spans="1:1">
      <c r="A1502" s="2">
        <v>3.52</v>
      </c>
    </row>
    <row r="1503" spans="1:1">
      <c r="A1503" s="2">
        <v>3.52</v>
      </c>
    </row>
    <row r="1504" spans="1:1">
      <c r="A1504" s="2">
        <v>3.52</v>
      </c>
    </row>
    <row r="1505" spans="1:1">
      <c r="A1505" s="2">
        <v>3.52</v>
      </c>
    </row>
    <row r="1506" spans="1:1">
      <c r="A1506" s="2">
        <v>3.79</v>
      </c>
    </row>
    <row r="1507" spans="1:1">
      <c r="A1507" s="2">
        <v>3.49</v>
      </c>
    </row>
    <row r="1508" spans="1:1">
      <c r="A1508" s="2">
        <v>3.52</v>
      </c>
    </row>
    <row r="1509" spans="1:1">
      <c r="A1509" s="2">
        <v>3.52</v>
      </c>
    </row>
    <row r="1510" spans="1:1">
      <c r="A1510" s="2">
        <v>3.52</v>
      </c>
    </row>
    <row r="1511" spans="1:1">
      <c r="A1511" s="2">
        <v>3.51</v>
      </c>
    </row>
    <row r="1512" spans="1:1">
      <c r="A1512" s="2">
        <v>3.52</v>
      </c>
    </row>
    <row r="1513" spans="1:1">
      <c r="A1513" s="2">
        <v>3.52</v>
      </c>
    </row>
    <row r="1514" spans="1:1">
      <c r="A1514" s="2">
        <v>3.52</v>
      </c>
    </row>
    <row r="1515" spans="1:1">
      <c r="A1515" s="2">
        <v>3.52</v>
      </c>
    </row>
    <row r="1516" spans="1:1">
      <c r="A1516" s="2">
        <v>3.64</v>
      </c>
    </row>
    <row r="1517" spans="1:1">
      <c r="A1517" s="2">
        <v>3.79</v>
      </c>
    </row>
    <row r="1518" spans="1:1">
      <c r="A1518" s="2">
        <v>3.52</v>
      </c>
    </row>
    <row r="1519" spans="1:1">
      <c r="A1519" s="2">
        <v>3.52</v>
      </c>
    </row>
    <row r="1520" spans="1:1">
      <c r="A1520" s="2">
        <v>3.52</v>
      </c>
    </row>
    <row r="1521" spans="1:1">
      <c r="A1521" s="2">
        <v>3.6</v>
      </c>
    </row>
    <row r="1522" spans="1:1">
      <c r="A1522" s="2">
        <v>3.55</v>
      </c>
    </row>
    <row r="1523" spans="1:1">
      <c r="A1523" s="2">
        <v>3.52</v>
      </c>
    </row>
    <row r="1524" spans="1:1">
      <c r="A1524" s="2">
        <v>3.77</v>
      </c>
    </row>
    <row r="1525" spans="1:1">
      <c r="A1525" s="2">
        <v>3.72</v>
      </c>
    </row>
    <row r="1526" spans="1:1">
      <c r="A1526" s="2">
        <v>3.45</v>
      </c>
    </row>
    <row r="1527" spans="1:1">
      <c r="A1527" s="2">
        <v>3.52</v>
      </c>
    </row>
    <row r="1528" spans="1:1">
      <c r="A1528" s="2">
        <v>3.76</v>
      </c>
    </row>
    <row r="1529" spans="1:1">
      <c r="A1529" s="2">
        <v>3.46</v>
      </c>
    </row>
    <row r="1530" spans="1:1">
      <c r="A1530" s="2">
        <v>3.52</v>
      </c>
    </row>
    <row r="1531" spans="1:1">
      <c r="A1531" s="2">
        <v>3.53</v>
      </c>
    </row>
    <row r="1532" spans="1:1">
      <c r="A1532" s="2">
        <v>3.72</v>
      </c>
    </row>
    <row r="1533" spans="1:1">
      <c r="A1533" s="2">
        <v>3.73</v>
      </c>
    </row>
    <row r="1534" spans="1:1">
      <c r="A1534" s="2">
        <v>3.52</v>
      </c>
    </row>
    <row r="1535" spans="1:1">
      <c r="A1535" s="2">
        <v>3.52</v>
      </c>
    </row>
    <row r="1536" spans="1:1">
      <c r="A1536" s="2">
        <v>3.51</v>
      </c>
    </row>
    <row r="1537" spans="1:1">
      <c r="A1537" s="2">
        <v>3.52</v>
      </c>
    </row>
    <row r="1538" spans="1:1">
      <c r="A1538" s="2">
        <v>3.52</v>
      </c>
    </row>
    <row r="1539" spans="1:1">
      <c r="A1539" s="2">
        <v>3.52</v>
      </c>
    </row>
    <row r="1540" spans="1:1">
      <c r="A1540" s="2">
        <v>3.67</v>
      </c>
    </row>
    <row r="1541" spans="1:1">
      <c r="A1541" s="2">
        <v>3.66</v>
      </c>
    </row>
    <row r="1542" spans="1:1">
      <c r="A1542" s="2">
        <v>3.51</v>
      </c>
    </row>
    <row r="1543" spans="1:1">
      <c r="A1543" s="2">
        <v>3.51</v>
      </c>
    </row>
    <row r="1544" spans="1:1">
      <c r="A1544" s="2">
        <v>3.75</v>
      </c>
    </row>
    <row r="1545" spans="1:1">
      <c r="A1545" s="2">
        <v>3.42</v>
      </c>
    </row>
    <row r="1546" spans="1:1">
      <c r="A1546" s="2">
        <v>3.73</v>
      </c>
    </row>
    <row r="1547" spans="1:1">
      <c r="A1547" s="2">
        <v>3.58</v>
      </c>
    </row>
    <row r="1548" spans="1:1">
      <c r="A1548" s="2">
        <v>3.52</v>
      </c>
    </row>
    <row r="1549" spans="1:1">
      <c r="A1549" s="2">
        <v>3.77</v>
      </c>
    </row>
    <row r="1550" spans="1:1">
      <c r="A1550" s="2">
        <v>3.52</v>
      </c>
    </row>
    <row r="1551" spans="1:1">
      <c r="A1551" s="2">
        <v>3.52</v>
      </c>
    </row>
    <row r="1552" spans="1:1">
      <c r="A1552" s="2">
        <v>3.52</v>
      </c>
    </row>
    <row r="1553" spans="1:1">
      <c r="A1553" s="2">
        <v>3.59</v>
      </c>
    </row>
    <row r="1554" spans="1:1">
      <c r="A1554" s="2">
        <v>3.65</v>
      </c>
    </row>
    <row r="1555" spans="1:1">
      <c r="A1555" s="2">
        <v>3.61</v>
      </c>
    </row>
    <row r="1556" spans="1:1">
      <c r="A1556" s="2">
        <v>3.52</v>
      </c>
    </row>
    <row r="1557" spans="1:1">
      <c r="A1557" s="2">
        <v>3.71</v>
      </c>
    </row>
    <row r="1558" spans="1:1">
      <c r="A1558" s="2">
        <v>3.52</v>
      </c>
    </row>
    <row r="1559" spans="1:1">
      <c r="A1559" s="2">
        <v>3.44</v>
      </c>
    </row>
    <row r="1560" spans="1:1">
      <c r="A1560" s="2">
        <v>3.72</v>
      </c>
    </row>
    <row r="1561" spans="1:1">
      <c r="A1561" s="2">
        <v>3.71</v>
      </c>
    </row>
    <row r="1562" spans="1:1">
      <c r="A1562" s="2">
        <v>3.52</v>
      </c>
    </row>
    <row r="1563" spans="1:1">
      <c r="A1563" s="2">
        <v>3.52</v>
      </c>
    </row>
    <row r="1564" spans="1:1">
      <c r="A1564" s="2">
        <v>3.52</v>
      </c>
    </row>
    <row r="1565" spans="1:1">
      <c r="A1565" s="2">
        <v>3.56</v>
      </c>
    </row>
    <row r="1566" spans="1:1">
      <c r="A1566" s="2">
        <v>3.78</v>
      </c>
    </row>
    <row r="1567" spans="1:1">
      <c r="A1567" s="2">
        <v>3.46</v>
      </c>
    </row>
    <row r="1568" spans="1:1">
      <c r="A1568" s="2">
        <v>3.52</v>
      </c>
    </row>
    <row r="1569" spans="1:1">
      <c r="A1569" s="2">
        <v>3.78</v>
      </c>
    </row>
    <row r="1570" spans="1:1">
      <c r="A1570" s="2">
        <v>3.77</v>
      </c>
    </row>
    <row r="1571" spans="1:1">
      <c r="A1571" s="2">
        <v>3.78</v>
      </c>
    </row>
    <row r="1572" spans="1:1">
      <c r="A1572" s="2">
        <v>3.52</v>
      </c>
    </row>
    <row r="1573" spans="1:1">
      <c r="A1573" s="2">
        <v>3.54</v>
      </c>
    </row>
    <row r="1574" spans="1:1">
      <c r="A1574" s="2">
        <v>3.7</v>
      </c>
    </row>
    <row r="1575" spans="1:1">
      <c r="A1575" s="2">
        <v>3.65</v>
      </c>
    </row>
    <row r="1576" spans="1:1">
      <c r="A1576" s="2">
        <v>3.52</v>
      </c>
    </row>
    <row r="1577" spans="1:1">
      <c r="A1577" s="2">
        <v>3.59</v>
      </c>
    </row>
    <row r="1578" spans="1:1">
      <c r="A1578" s="2">
        <v>3.69</v>
      </c>
    </row>
    <row r="1579" spans="1:1">
      <c r="A1579" s="2">
        <v>3.52</v>
      </c>
    </row>
    <row r="1580" spans="1:1">
      <c r="A1580" s="2">
        <v>3.52</v>
      </c>
    </row>
    <row r="1581" spans="1:1">
      <c r="A1581" s="2">
        <v>3.61</v>
      </c>
    </row>
    <row r="1582" spans="1:1">
      <c r="A1582" s="2">
        <v>3.66</v>
      </c>
    </row>
    <row r="1583" spans="1:1">
      <c r="A1583" s="2">
        <v>3.48</v>
      </c>
    </row>
    <row r="1584" spans="1:1">
      <c r="A1584" s="2">
        <v>3.52</v>
      </c>
    </row>
    <row r="1585" spans="1:1">
      <c r="A1585" s="2">
        <v>3.48</v>
      </c>
    </row>
    <row r="1586" spans="1:1">
      <c r="A1586" s="2">
        <v>3.52</v>
      </c>
    </row>
    <row r="1587" spans="1:1">
      <c r="A1587" s="2">
        <v>3.52</v>
      </c>
    </row>
    <row r="1588" spans="1:1">
      <c r="A1588" s="2">
        <v>3.54</v>
      </c>
    </row>
    <row r="1589" spans="1:1">
      <c r="A1589" s="2">
        <v>3.78</v>
      </c>
    </row>
    <row r="1590" spans="1:1">
      <c r="A1590" s="2">
        <v>3.78</v>
      </c>
    </row>
    <row r="1591" spans="1:1">
      <c r="A1591" s="2">
        <v>3.52</v>
      </c>
    </row>
    <row r="1592" spans="1:1">
      <c r="A1592" s="2">
        <v>3.58</v>
      </c>
    </row>
    <row r="1593" spans="1:1">
      <c r="A1593" s="2">
        <v>3.52</v>
      </c>
    </row>
    <row r="1594" spans="1:1">
      <c r="A1594" s="2">
        <v>3.52</v>
      </c>
    </row>
    <row r="1595" spans="1:1">
      <c r="A1595" s="2">
        <v>3.55</v>
      </c>
    </row>
    <row r="1596" spans="1:1">
      <c r="A1596" s="2">
        <v>3.52</v>
      </c>
    </row>
    <row r="1597" spans="1:1">
      <c r="A1597" s="2">
        <v>3.51</v>
      </c>
    </row>
    <row r="1598" spans="1:1">
      <c r="A1598" s="2">
        <v>3.56</v>
      </c>
    </row>
    <row r="1599" spans="1:1">
      <c r="A1599" s="2">
        <v>3.6</v>
      </c>
    </row>
    <row r="1600" spans="1:1">
      <c r="A1600" s="2">
        <v>3.52</v>
      </c>
    </row>
    <row r="1601" spans="1:1">
      <c r="A1601" s="2">
        <v>3.51</v>
      </c>
    </row>
    <row r="1602" spans="1:1">
      <c r="A1602" s="2">
        <v>3.51</v>
      </c>
    </row>
    <row r="1603" spans="1:1">
      <c r="A1603" s="2">
        <v>3.46</v>
      </c>
    </row>
    <row r="1604" spans="1:1">
      <c r="A1604" s="2">
        <v>3.53</v>
      </c>
    </row>
    <row r="1605" spans="1:1">
      <c r="A1605" s="2">
        <v>3.76</v>
      </c>
    </row>
    <row r="1606" spans="1:1">
      <c r="A1606" s="2">
        <v>3.51</v>
      </c>
    </row>
    <row r="1607" spans="1:1">
      <c r="A1607" s="2">
        <v>3.71</v>
      </c>
    </row>
    <row r="1608" spans="1:1">
      <c r="A1608" s="2">
        <v>3.52</v>
      </c>
    </row>
    <row r="1609" spans="1:1">
      <c r="A1609" s="2">
        <v>3.56</v>
      </c>
    </row>
    <row r="1610" spans="1:1">
      <c r="A1610" s="2">
        <v>3.72</v>
      </c>
    </row>
    <row r="1611" spans="1:1">
      <c r="A1611" s="2">
        <v>3.65</v>
      </c>
    </row>
    <row r="1612" spans="1:1">
      <c r="A1612" s="2">
        <v>3.52</v>
      </c>
    </row>
    <row r="1613" spans="1:1">
      <c r="A1613" s="2">
        <v>3.52</v>
      </c>
    </row>
    <row r="1614" spans="1:1">
      <c r="A1614" s="2">
        <v>3.78</v>
      </c>
    </row>
    <row r="1615" spans="1:1">
      <c r="A1615" s="2">
        <v>3.44</v>
      </c>
    </row>
    <row r="1616" spans="1:1">
      <c r="A1616" s="2">
        <v>3.52</v>
      </c>
    </row>
    <row r="1617" spans="1:1">
      <c r="A1617" s="2">
        <v>3.76</v>
      </c>
    </row>
    <row r="1618" spans="1:1">
      <c r="A1618" s="2">
        <v>3.53</v>
      </c>
    </row>
    <row r="1619" spans="1:1">
      <c r="A1619" s="2">
        <v>3.51</v>
      </c>
    </row>
    <row r="1620" spans="1:1">
      <c r="A1620" s="2">
        <v>3.52</v>
      </c>
    </row>
    <row r="1621" spans="1:1">
      <c r="A1621" s="2">
        <v>3.52</v>
      </c>
    </row>
    <row r="1622" spans="1:1">
      <c r="A1622" s="2">
        <v>3.52</v>
      </c>
    </row>
    <row r="1623" spans="1:1">
      <c r="A1623" s="2">
        <v>3.67</v>
      </c>
    </row>
    <row r="1624" spans="1:1">
      <c r="A1624" s="2">
        <v>3.52</v>
      </c>
    </row>
    <row r="1625" spans="1:1">
      <c r="A1625" s="2">
        <v>3.7</v>
      </c>
    </row>
    <row r="1626" spans="1:1">
      <c r="A1626" s="2">
        <v>3.78</v>
      </c>
    </row>
    <row r="1627" spans="1:1">
      <c r="A1627" s="2">
        <v>3.52</v>
      </c>
    </row>
    <row r="1628" spans="1:1">
      <c r="A1628" s="2">
        <v>3.78</v>
      </c>
    </row>
    <row r="1629" spans="1:1">
      <c r="A1629" s="2">
        <v>3.72</v>
      </c>
    </row>
    <row r="1630" spans="1:1">
      <c r="A1630" s="2">
        <v>3.58</v>
      </c>
    </row>
    <row r="1631" spans="1:1">
      <c r="A1631" s="2">
        <v>3.74</v>
      </c>
    </row>
    <row r="1632" spans="1:1">
      <c r="A1632" s="2">
        <v>3.5</v>
      </c>
    </row>
    <row r="1633" spans="1:1">
      <c r="A1633" s="2">
        <v>3.53</v>
      </c>
    </row>
    <row r="1634" spans="1:1">
      <c r="A1634" s="2">
        <v>3.52</v>
      </c>
    </row>
    <row r="1635" spans="1:1">
      <c r="A1635" s="2">
        <v>3.72</v>
      </c>
    </row>
    <row r="1636" spans="1:1">
      <c r="A1636" s="2">
        <v>3.55</v>
      </c>
    </row>
    <row r="1637" spans="1:1">
      <c r="A1637" s="2">
        <v>3.58</v>
      </c>
    </row>
    <row r="1638" spans="1:1">
      <c r="A1638" s="2">
        <v>3.52</v>
      </c>
    </row>
    <row r="1639" spans="1:1">
      <c r="A1639" s="2">
        <v>3.52</v>
      </c>
    </row>
    <row r="1640" spans="1:1">
      <c r="A1640" s="2">
        <v>3.78</v>
      </c>
    </row>
    <row r="1641" spans="1:1">
      <c r="A1641" s="2">
        <v>3.67</v>
      </c>
    </row>
    <row r="1642" spans="1:1">
      <c r="A1642" s="2">
        <v>3.52</v>
      </c>
    </row>
    <row r="1643" spans="1:1">
      <c r="A1643" s="2">
        <v>3.73</v>
      </c>
    </row>
    <row r="1644" spans="1:1">
      <c r="A1644" s="2">
        <v>3.52</v>
      </c>
    </row>
    <row r="1645" spans="1:1">
      <c r="A1645" s="2">
        <v>3.51</v>
      </c>
    </row>
    <row r="1646" spans="1:1">
      <c r="A1646" s="2">
        <v>3.62</v>
      </c>
    </row>
    <row r="1647" spans="1:1">
      <c r="A1647" s="2">
        <v>3.7</v>
      </c>
    </row>
    <row r="1648" spans="1:1">
      <c r="A1648" s="2">
        <v>3.57</v>
      </c>
    </row>
    <row r="1649" spans="1:1">
      <c r="A1649" s="2">
        <v>3.52</v>
      </c>
    </row>
    <row r="1650" spans="1:1">
      <c r="A1650" s="2">
        <v>3.52</v>
      </c>
    </row>
    <row r="1651" spans="1:1">
      <c r="A1651" s="2">
        <v>3.79</v>
      </c>
    </row>
    <row r="1652" spans="1:1">
      <c r="A1652" s="2">
        <v>3.41</v>
      </c>
    </row>
    <row r="1653" spans="1:1">
      <c r="A1653" s="2">
        <v>3.52</v>
      </c>
    </row>
    <row r="1654" spans="1:1">
      <c r="A1654" s="2">
        <v>3.61</v>
      </c>
    </row>
    <row r="1655" spans="1:1">
      <c r="A1655" s="2">
        <v>3.67</v>
      </c>
    </row>
    <row r="1656" spans="1:1">
      <c r="A1656" s="2">
        <v>3.51</v>
      </c>
    </row>
    <row r="1657" spans="1:1">
      <c r="A1657" s="2">
        <v>3.52</v>
      </c>
    </row>
    <row r="1658" spans="1:1">
      <c r="A1658" s="2">
        <v>3.52</v>
      </c>
    </row>
    <row r="1659" spans="1:1">
      <c r="A1659" s="2">
        <v>3.59</v>
      </c>
    </row>
    <row r="1660" spans="1:1">
      <c r="A1660" s="2">
        <v>3.43</v>
      </c>
    </row>
    <row r="1661" spans="1:1">
      <c r="A1661" s="2">
        <v>3.52</v>
      </c>
    </row>
    <row r="1662" spans="1:1">
      <c r="A1662" s="2">
        <v>3.67</v>
      </c>
    </row>
    <row r="1663" spans="1:1">
      <c r="A1663" s="2">
        <v>3.52</v>
      </c>
    </row>
    <row r="1664" spans="1:1">
      <c r="A1664" s="2">
        <v>3.52</v>
      </c>
    </row>
    <row r="1665" spans="1:1">
      <c r="A1665" s="2">
        <v>3.52</v>
      </c>
    </row>
    <row r="1666" spans="1:1">
      <c r="A1666" s="2">
        <v>3.49</v>
      </c>
    </row>
    <row r="1667" spans="1:1">
      <c r="A1667" s="2">
        <v>3.68</v>
      </c>
    </row>
    <row r="1668" spans="1:1">
      <c r="A1668" s="2">
        <v>3.52</v>
      </c>
    </row>
    <row r="1669" spans="1:1">
      <c r="A1669" s="2">
        <v>3.66</v>
      </c>
    </row>
    <row r="1670" spans="1:1">
      <c r="A1670" s="2">
        <v>3.67</v>
      </c>
    </row>
    <row r="1671" spans="1:1">
      <c r="A1671" s="2">
        <v>3.71</v>
      </c>
    </row>
    <row r="1672" spans="1:1">
      <c r="A1672" s="2">
        <v>3.7</v>
      </c>
    </row>
    <row r="1673" spans="1:1">
      <c r="A1673" s="2">
        <v>3.52</v>
      </c>
    </row>
    <row r="1674" spans="1:1">
      <c r="A1674" s="2">
        <v>3.52</v>
      </c>
    </row>
    <row r="1675" spans="1:1">
      <c r="A1675" s="2">
        <v>3.78</v>
      </c>
    </row>
    <row r="1676" spans="1:1">
      <c r="A1676" s="2">
        <v>3.52</v>
      </c>
    </row>
    <row r="1677" spans="1:1">
      <c r="A1677" s="2">
        <v>3.55</v>
      </c>
    </row>
    <row r="1678" spans="1:1">
      <c r="A1678" s="2">
        <v>3.52</v>
      </c>
    </row>
    <row r="1679" spans="1:1">
      <c r="A1679" s="2">
        <v>3.52</v>
      </c>
    </row>
    <row r="1680" spans="1:1">
      <c r="A1680" s="2">
        <v>3.45</v>
      </c>
    </row>
    <row r="1681" spans="1:1">
      <c r="A1681" s="2">
        <v>3.52</v>
      </c>
    </row>
    <row r="1682" spans="1:1">
      <c r="A1682" s="2">
        <v>3.52</v>
      </c>
    </row>
    <row r="1683" spans="1:1">
      <c r="A1683" s="2">
        <v>3.52</v>
      </c>
    </row>
    <row r="1684" spans="1:1">
      <c r="A1684" s="2">
        <v>3.66</v>
      </c>
    </row>
    <row r="1685" spans="1:1">
      <c r="A1685" s="2">
        <v>3.63</v>
      </c>
    </row>
    <row r="1686" spans="1:1">
      <c r="A1686" s="2">
        <v>3.51</v>
      </c>
    </row>
    <row r="1687" spans="1:1">
      <c r="A1687" s="2">
        <v>3.78</v>
      </c>
    </row>
    <row r="1688" spans="1:1">
      <c r="A1688" s="2">
        <v>3.58</v>
      </c>
    </row>
    <row r="1689" spans="1:1">
      <c r="A1689" s="2">
        <v>3.52</v>
      </c>
    </row>
    <row r="1690" spans="1:1">
      <c r="A1690" s="2">
        <v>3.52</v>
      </c>
    </row>
    <row r="1691" spans="1:1">
      <c r="A1691" s="2">
        <v>3.52</v>
      </c>
    </row>
    <row r="1692" spans="1:1">
      <c r="A1692" s="2">
        <v>3.52</v>
      </c>
    </row>
    <row r="1693" spans="1:1">
      <c r="A1693" s="2">
        <v>3.47</v>
      </c>
    </row>
    <row r="1694" spans="1:1">
      <c r="A1694" s="2">
        <v>3.52</v>
      </c>
    </row>
    <row r="1695" spans="1:1">
      <c r="A1695" s="2">
        <v>3.52</v>
      </c>
    </row>
    <row r="1696" spans="1:1">
      <c r="A1696" s="2">
        <v>3.55</v>
      </c>
    </row>
    <row r="1697" spans="1:1">
      <c r="A1697" s="2">
        <v>3.52</v>
      </c>
    </row>
    <row r="1698" spans="1:1">
      <c r="A1698" s="2">
        <v>3.78</v>
      </c>
    </row>
    <row r="1699" spans="1:1">
      <c r="A1699" s="2">
        <v>3.52</v>
      </c>
    </row>
    <row r="1700" spans="1:1">
      <c r="A1700" s="2">
        <v>3.51</v>
      </c>
    </row>
    <row r="1701" spans="1:1">
      <c r="A1701" s="2">
        <v>3.44</v>
      </c>
    </row>
    <row r="1702" spans="1:1">
      <c r="A1702" s="2">
        <v>3.78</v>
      </c>
    </row>
    <row r="1703" spans="1:1">
      <c r="A1703" s="2">
        <v>3.52</v>
      </c>
    </row>
    <row r="1704" spans="1:1">
      <c r="A1704" s="2">
        <v>3.77</v>
      </c>
    </row>
    <row r="1705" spans="1:1">
      <c r="A1705" s="2">
        <v>3.52</v>
      </c>
    </row>
    <row r="1706" spans="1:1">
      <c r="A1706" s="2">
        <v>3.78</v>
      </c>
    </row>
    <row r="1707" spans="1:1">
      <c r="A1707" s="2">
        <v>3.52</v>
      </c>
    </row>
    <row r="1708" spans="1:1">
      <c r="A1708" s="2">
        <v>3.47</v>
      </c>
    </row>
    <row r="1709" spans="1:1">
      <c r="A1709" s="2">
        <v>3.46</v>
      </c>
    </row>
    <row r="1710" spans="1:1">
      <c r="A1710" s="2">
        <v>3.41</v>
      </c>
    </row>
    <row r="1711" spans="1:1">
      <c r="A1711" s="2">
        <v>3.52</v>
      </c>
    </row>
    <row r="1712" spans="1:1">
      <c r="A1712" s="2">
        <v>3.59</v>
      </c>
    </row>
    <row r="1713" spans="1:1">
      <c r="A1713" s="2">
        <v>3.47</v>
      </c>
    </row>
    <row r="1714" spans="1:1">
      <c r="A1714" s="2">
        <v>3.59</v>
      </c>
    </row>
    <row r="1715" spans="1:1">
      <c r="A1715" s="2">
        <v>3.59</v>
      </c>
    </row>
    <row r="1716" spans="1:1">
      <c r="A1716" s="2">
        <v>3.68</v>
      </c>
    </row>
    <row r="1717" spans="1:1">
      <c r="A1717" s="2">
        <v>3.42</v>
      </c>
    </row>
    <row r="1718" spans="1:1">
      <c r="A1718" s="2">
        <v>3.64</v>
      </c>
    </row>
    <row r="1719" spans="1:1">
      <c r="A1719" s="2">
        <v>3.76</v>
      </c>
    </row>
    <row r="1720" spans="1:1">
      <c r="A1720" s="2">
        <v>3.51</v>
      </c>
    </row>
    <row r="1721" spans="1:1">
      <c r="A1721" s="2">
        <v>3.52</v>
      </c>
    </row>
    <row r="1722" spans="1:1">
      <c r="A1722" s="2">
        <v>3.52</v>
      </c>
    </row>
    <row r="1723" spans="1:1">
      <c r="A1723" s="2">
        <v>3.52</v>
      </c>
    </row>
    <row r="1724" spans="1:1">
      <c r="A1724" s="2">
        <v>3.59</v>
      </c>
    </row>
    <row r="1725" spans="1:1">
      <c r="A1725" s="2">
        <v>3.78</v>
      </c>
    </row>
    <row r="1726" spans="1:1">
      <c r="A1726" s="2">
        <v>3.52</v>
      </c>
    </row>
    <row r="1727" spans="1:1">
      <c r="A1727" s="2">
        <v>3.51</v>
      </c>
    </row>
    <row r="1728" spans="1:1">
      <c r="A1728" s="2">
        <v>3.52</v>
      </c>
    </row>
    <row r="1729" spans="1:1">
      <c r="A1729" s="2">
        <v>3.52</v>
      </c>
    </row>
    <row r="1730" spans="1:1">
      <c r="A1730" s="2">
        <v>3.47</v>
      </c>
    </row>
    <row r="1731" spans="1:1">
      <c r="A1731" s="2">
        <v>3.56</v>
      </c>
    </row>
    <row r="1732" spans="1:1">
      <c r="A1732" s="2">
        <v>3.48</v>
      </c>
    </row>
    <row r="1733" spans="1:1">
      <c r="A1733" s="2">
        <v>3.78</v>
      </c>
    </row>
    <row r="1734" spans="1:1">
      <c r="A1734" s="2">
        <v>3.52</v>
      </c>
    </row>
    <row r="1735" spans="1:1">
      <c r="A1735" s="2">
        <v>3.79</v>
      </c>
    </row>
    <row r="1736" spans="1:1">
      <c r="A1736" s="2">
        <v>3.44</v>
      </c>
    </row>
    <row r="1737" spans="1:1">
      <c r="A1737" s="2">
        <v>3.52</v>
      </c>
    </row>
    <row r="1738" spans="1:1">
      <c r="A1738" s="2">
        <v>3.67</v>
      </c>
    </row>
    <row r="1739" spans="1:1">
      <c r="A1739" s="2">
        <v>3.62</v>
      </c>
    </row>
    <row r="1740" spans="1:1">
      <c r="A1740" s="2">
        <v>3.52</v>
      </c>
    </row>
    <row r="1741" spans="1:1">
      <c r="A1741" s="2">
        <v>3.51</v>
      </c>
    </row>
    <row r="1742" spans="1:1">
      <c r="A1742" s="2">
        <v>3.52</v>
      </c>
    </row>
    <row r="1743" spans="1:1">
      <c r="A1743" s="2">
        <v>3.51</v>
      </c>
    </row>
    <row r="1744" spans="1:1">
      <c r="A1744" s="2">
        <v>3.54</v>
      </c>
    </row>
    <row r="1745" spans="1:1">
      <c r="A1745" s="2">
        <v>3.52</v>
      </c>
    </row>
    <row r="1746" spans="1:1">
      <c r="A1746" s="2">
        <v>3.52</v>
      </c>
    </row>
    <row r="1747" spans="1:1">
      <c r="A1747" s="2">
        <v>3.78</v>
      </c>
    </row>
    <row r="1748" spans="1:1">
      <c r="A1748" s="2">
        <v>3.52</v>
      </c>
    </row>
    <row r="1749" spans="1:1">
      <c r="A1749" s="2">
        <v>3.76</v>
      </c>
    </row>
    <row r="1750" spans="1:1">
      <c r="A1750" s="2">
        <v>3.52</v>
      </c>
    </row>
    <row r="1751" spans="1:1">
      <c r="A1751" s="2">
        <v>3.52</v>
      </c>
    </row>
    <row r="1752" spans="1:1">
      <c r="A1752" s="2">
        <v>3.52</v>
      </c>
    </row>
    <row r="1753" spans="1:1">
      <c r="A1753" s="2">
        <v>3.52</v>
      </c>
    </row>
    <row r="1754" spans="1:1">
      <c r="A1754" s="2">
        <v>3.62</v>
      </c>
    </row>
    <row r="1755" spans="1:1">
      <c r="A1755" s="2">
        <v>3.52</v>
      </c>
    </row>
    <row r="1756" spans="1:1">
      <c r="A1756" s="2">
        <v>3.47</v>
      </c>
    </row>
    <row r="1757" spans="1:1">
      <c r="A1757" s="2">
        <v>3.52</v>
      </c>
    </row>
    <row r="1758" spans="1:1">
      <c r="A1758" s="2">
        <v>3.44</v>
      </c>
    </row>
    <row r="1759" spans="1:1">
      <c r="A1759" s="2">
        <v>3.66</v>
      </c>
    </row>
    <row r="1760" spans="1:1">
      <c r="A1760" s="2">
        <v>3.79</v>
      </c>
    </row>
    <row r="1761" spans="1:1">
      <c r="A1761" s="2">
        <v>3.52</v>
      </c>
    </row>
    <row r="1762" spans="1:1">
      <c r="A1762" s="2">
        <v>3.75</v>
      </c>
    </row>
    <row r="1763" spans="1:1">
      <c r="A1763" s="2">
        <v>3.52</v>
      </c>
    </row>
    <row r="1764" spans="1:1">
      <c r="A1764" s="2">
        <v>3.52</v>
      </c>
    </row>
    <row r="1765" spans="1:1">
      <c r="A1765" s="2">
        <v>3.72</v>
      </c>
    </row>
    <row r="1766" spans="1:1">
      <c r="A1766" s="2">
        <v>3.52</v>
      </c>
    </row>
    <row r="1767" spans="1:1">
      <c r="A1767" s="2">
        <v>3.52</v>
      </c>
    </row>
    <row r="1768" spans="1:1">
      <c r="A1768" s="2">
        <v>3.42</v>
      </c>
    </row>
    <row r="1769" spans="1:1">
      <c r="A1769" s="2">
        <v>3.52</v>
      </c>
    </row>
    <row r="1770" spans="1:1">
      <c r="A1770" s="2">
        <v>3.52</v>
      </c>
    </row>
    <row r="1771" spans="1:1">
      <c r="A1771" s="2">
        <v>3.78</v>
      </c>
    </row>
    <row r="1772" spans="1:1">
      <c r="A1772" s="2">
        <v>3.52</v>
      </c>
    </row>
    <row r="1773" spans="1:1">
      <c r="A1773" s="2">
        <v>3.52</v>
      </c>
    </row>
    <row r="1774" spans="1:1">
      <c r="A1774" s="2">
        <v>3.52</v>
      </c>
    </row>
    <row r="1775" spans="1:1">
      <c r="A1775" s="2">
        <v>3.45</v>
      </c>
    </row>
    <row r="1776" spans="1:1">
      <c r="A1776" s="2">
        <v>3.43</v>
      </c>
    </row>
    <row r="1777" spans="1:1">
      <c r="A1777" s="2">
        <v>3.54</v>
      </c>
    </row>
    <row r="1778" spans="1:1">
      <c r="A1778" s="2">
        <v>3.51</v>
      </c>
    </row>
    <row r="1779" spans="1:1">
      <c r="A1779" s="2">
        <v>3.45</v>
      </c>
    </row>
    <row r="1780" spans="1:1">
      <c r="A1780" s="2">
        <v>3.52</v>
      </c>
    </row>
    <row r="1781" spans="1:1">
      <c r="A1781" s="2">
        <v>3.43</v>
      </c>
    </row>
    <row r="1782" spans="1:1">
      <c r="A1782" s="2">
        <v>3.52</v>
      </c>
    </row>
    <row r="1783" spans="1:1">
      <c r="A1783" s="2">
        <v>3.51</v>
      </c>
    </row>
    <row r="1784" spans="1:1">
      <c r="A1784" s="2">
        <v>3.47</v>
      </c>
    </row>
    <row r="1785" spans="1:1">
      <c r="A1785" s="2">
        <v>3.75</v>
      </c>
    </row>
    <row r="1786" spans="1:1">
      <c r="A1786" s="2">
        <v>3.45</v>
      </c>
    </row>
    <row r="1787" spans="1:1">
      <c r="A1787" s="2">
        <v>3.43</v>
      </c>
    </row>
    <row r="1788" spans="1:1">
      <c r="A1788" s="2">
        <v>3.73</v>
      </c>
    </row>
    <row r="1789" spans="1:1">
      <c r="A1789" s="2">
        <v>3.63</v>
      </c>
    </row>
    <row r="1790" spans="1:1">
      <c r="A1790" s="2">
        <v>3.52</v>
      </c>
    </row>
    <row r="1791" spans="1:1">
      <c r="A1791" s="2">
        <v>3.48</v>
      </c>
    </row>
    <row r="1792" spans="1:1">
      <c r="A1792" s="2">
        <v>3.56</v>
      </c>
    </row>
    <row r="1793" spans="1:1">
      <c r="A1793" s="2">
        <v>3.52</v>
      </c>
    </row>
    <row r="1794" spans="1:1">
      <c r="A1794" s="2">
        <v>3.54</v>
      </c>
    </row>
    <row r="1795" spans="1:1">
      <c r="A1795" s="2">
        <v>3.52</v>
      </c>
    </row>
    <row r="1796" spans="1:1">
      <c r="A1796" s="2">
        <v>3.7</v>
      </c>
    </row>
    <row r="1797" spans="1:1">
      <c r="A1797" s="2">
        <v>3.57</v>
      </c>
    </row>
    <row r="1798" spans="1:1">
      <c r="A1798" s="2">
        <v>3.7</v>
      </c>
    </row>
    <row r="1799" spans="1:1">
      <c r="A1799" s="2">
        <v>3.73</v>
      </c>
    </row>
    <row r="1800" spans="1:1">
      <c r="A1800" s="2">
        <v>3.52</v>
      </c>
    </row>
    <row r="1801" spans="1:1">
      <c r="A1801" s="2">
        <v>3.52</v>
      </c>
    </row>
    <row r="1802" spans="1:1">
      <c r="A1802" s="2">
        <v>3.7</v>
      </c>
    </row>
    <row r="1803" spans="1:1">
      <c r="A1803" s="2">
        <v>3.52</v>
      </c>
    </row>
    <row r="1804" spans="1:1">
      <c r="A1804" s="2">
        <v>3.52</v>
      </c>
    </row>
    <row r="1805" spans="1:1">
      <c r="A1805" s="2">
        <v>3.74</v>
      </c>
    </row>
    <row r="1806" spans="1:1">
      <c r="A1806" s="2">
        <v>3.76</v>
      </c>
    </row>
    <row r="1807" spans="1:1">
      <c r="A1807" s="2">
        <v>3.52</v>
      </c>
    </row>
    <row r="1808" spans="1:1">
      <c r="A1808" s="2">
        <v>3.43</v>
      </c>
    </row>
    <row r="1809" spans="1:1">
      <c r="A1809" s="2">
        <v>3.52</v>
      </c>
    </row>
    <row r="1810" spans="1:1">
      <c r="A1810" s="2">
        <v>3.52</v>
      </c>
    </row>
    <row r="1811" spans="1:1">
      <c r="A1811" s="2">
        <v>3.53</v>
      </c>
    </row>
    <row r="1812" spans="1:1">
      <c r="A1812" s="2">
        <v>3.52</v>
      </c>
    </row>
    <row r="1813" spans="1:1">
      <c r="A1813" s="2">
        <v>3.45</v>
      </c>
    </row>
    <row r="1814" spans="1:1">
      <c r="A1814" s="2">
        <v>3.52</v>
      </c>
    </row>
    <row r="1815" spans="1:1">
      <c r="A1815" s="2">
        <v>3.52</v>
      </c>
    </row>
    <row r="1816" spans="1:1">
      <c r="A1816" s="2">
        <v>3.52</v>
      </c>
    </row>
    <row r="1817" spans="1:1">
      <c r="A1817" s="2">
        <v>3.73</v>
      </c>
    </row>
    <row r="1818" spans="1:1">
      <c r="A1818" s="2">
        <v>3.81</v>
      </c>
    </row>
    <row r="1819" spans="1:1">
      <c r="A1819" s="2">
        <v>3.52</v>
      </c>
    </row>
    <row r="1820" spans="1:1">
      <c r="A1820" s="2">
        <v>3.73</v>
      </c>
    </row>
    <row r="1821" spans="1:1">
      <c r="A1821" s="2">
        <v>3.51</v>
      </c>
    </row>
    <row r="1822" spans="1:1">
      <c r="A1822" s="2">
        <v>3.67</v>
      </c>
    </row>
    <row r="1823" spans="1:1">
      <c r="A1823" s="2">
        <v>3.52</v>
      </c>
    </row>
    <row r="1824" spans="1:1">
      <c r="A1824" s="2">
        <v>3.65</v>
      </c>
    </row>
    <row r="1825" spans="1:1">
      <c r="A1825" s="2">
        <v>3.44</v>
      </c>
    </row>
    <row r="1826" spans="1:1">
      <c r="A1826" s="2">
        <v>3.66</v>
      </c>
    </row>
    <row r="1827" spans="1:1">
      <c r="A1827" s="2">
        <v>3.52</v>
      </c>
    </row>
    <row r="1828" spans="1:1">
      <c r="A1828" s="2">
        <v>3.41</v>
      </c>
    </row>
    <row r="1829" spans="1:1">
      <c r="A1829" s="2">
        <v>3.52</v>
      </c>
    </row>
    <row r="1830" spans="1:1">
      <c r="A1830" s="2">
        <v>3.58</v>
      </c>
    </row>
    <row r="1831" spans="1:1">
      <c r="A1831" s="2">
        <v>3.44</v>
      </c>
    </row>
    <row r="1832" spans="1:1">
      <c r="A1832" s="2">
        <v>3.65</v>
      </c>
    </row>
    <row r="1833" spans="1:1">
      <c r="A1833" s="2">
        <v>3.52</v>
      </c>
    </row>
    <row r="1834" spans="1:1">
      <c r="A1834" s="2">
        <v>3.49</v>
      </c>
    </row>
    <row r="1835" spans="1:1">
      <c r="A1835" s="2">
        <v>3.73</v>
      </c>
    </row>
    <row r="1836" spans="1:1">
      <c r="A1836" s="2">
        <v>3.59</v>
      </c>
    </row>
    <row r="1837" spans="1:1">
      <c r="A1837" s="2">
        <v>3.67</v>
      </c>
    </row>
    <row r="1838" spans="1:1">
      <c r="A1838" s="2">
        <v>3.69</v>
      </c>
    </row>
    <row r="1839" spans="1:1">
      <c r="A1839" s="2">
        <v>3.78</v>
      </c>
    </row>
    <row r="1840" spans="1:1">
      <c r="A1840" s="2">
        <v>3.71</v>
      </c>
    </row>
    <row r="1841" spans="1:1">
      <c r="A1841" s="2">
        <v>3.68</v>
      </c>
    </row>
    <row r="1842" spans="1:1">
      <c r="A1842" s="2">
        <v>3.52</v>
      </c>
    </row>
    <row r="1843" spans="1:1">
      <c r="A1843" s="2">
        <v>3.52</v>
      </c>
    </row>
    <row r="1844" spans="1:1">
      <c r="A1844" s="2">
        <v>3.54</v>
      </c>
    </row>
    <row r="1845" spans="1:1">
      <c r="A1845" s="2">
        <v>3.79</v>
      </c>
    </row>
    <row r="1846" spans="1:1">
      <c r="A1846" s="2">
        <v>3.52</v>
      </c>
    </row>
    <row r="1847" spans="1:1">
      <c r="A1847" s="2">
        <v>3.71</v>
      </c>
    </row>
    <row r="1848" spans="1:1">
      <c r="A1848" s="2">
        <v>3.7</v>
      </c>
    </row>
    <row r="1849" spans="1:1">
      <c r="A1849" s="2">
        <v>3.46</v>
      </c>
    </row>
    <row r="1850" spans="1:1">
      <c r="A1850" s="2">
        <v>3.52</v>
      </c>
    </row>
    <row r="1851" spans="1:1">
      <c r="A1851" s="2">
        <v>3.54</v>
      </c>
    </row>
    <row r="1852" spans="1:1">
      <c r="A1852" s="2">
        <v>3.46</v>
      </c>
    </row>
    <row r="1853" spans="1:1">
      <c r="A1853" s="2">
        <v>3.52</v>
      </c>
    </row>
    <row r="1854" spans="1:1">
      <c r="A1854" s="2">
        <v>3.41</v>
      </c>
    </row>
    <row r="1855" spans="1:1">
      <c r="A1855" s="2">
        <v>3.41</v>
      </c>
    </row>
    <row r="1856" spans="1:1">
      <c r="A1856" s="2">
        <v>3.54</v>
      </c>
    </row>
    <row r="1857" spans="1:1">
      <c r="A1857" s="2">
        <v>3.8</v>
      </c>
    </row>
    <row r="1858" spans="1:1">
      <c r="A1858" s="2">
        <v>3.52</v>
      </c>
    </row>
    <row r="1859" spans="1:1">
      <c r="A1859" s="2">
        <v>3.47</v>
      </c>
    </row>
    <row r="1860" spans="1:1">
      <c r="A1860" s="2">
        <v>3.52</v>
      </c>
    </row>
    <row r="1861" spans="1:1">
      <c r="A1861" s="2">
        <v>3.52</v>
      </c>
    </row>
    <row r="1862" spans="1:1">
      <c r="A1862" s="2">
        <v>3.51</v>
      </c>
    </row>
    <row r="1863" spans="1:1">
      <c r="A1863" s="2">
        <v>3.65</v>
      </c>
    </row>
    <row r="1864" spans="1:1">
      <c r="A1864" s="2">
        <v>3.52</v>
      </c>
    </row>
    <row r="1865" spans="1:1">
      <c r="A1865" s="2">
        <v>3.52</v>
      </c>
    </row>
    <row r="1866" spans="1:1">
      <c r="A1866" s="2">
        <v>3.51</v>
      </c>
    </row>
    <row r="1867" spans="1:1">
      <c r="A1867" s="2">
        <v>3.52</v>
      </c>
    </row>
    <row r="1868" spans="1:1">
      <c r="A1868" s="2">
        <v>3.62</v>
      </c>
    </row>
    <row r="1869" spans="1:1">
      <c r="A1869" s="2">
        <v>3.78</v>
      </c>
    </row>
    <row r="1870" spans="1:1">
      <c r="A1870" s="2">
        <v>3.52</v>
      </c>
    </row>
    <row r="1871" spans="1:1">
      <c r="A1871" s="2">
        <v>3.64</v>
      </c>
    </row>
    <row r="1872" spans="1:1">
      <c r="A1872" s="2">
        <v>3.52</v>
      </c>
    </row>
    <row r="1873" spans="1:1">
      <c r="A1873" s="2">
        <v>3.51</v>
      </c>
    </row>
    <row r="1874" spans="1:1">
      <c r="A1874" s="2">
        <v>3.79</v>
      </c>
    </row>
    <row r="1875" spans="1:1">
      <c r="A1875" s="2">
        <v>3.51</v>
      </c>
    </row>
    <row r="1876" spans="1:1">
      <c r="A1876" s="2">
        <v>3.77</v>
      </c>
    </row>
    <row r="1877" spans="1:1">
      <c r="A1877" s="2">
        <v>3.52</v>
      </c>
    </row>
    <row r="1878" spans="1:1">
      <c r="A1878" s="2">
        <v>3.72</v>
      </c>
    </row>
    <row r="1879" spans="1:1">
      <c r="A1879" s="2">
        <v>3.52</v>
      </c>
    </row>
    <row r="1880" spans="1:1">
      <c r="A1880" s="2">
        <v>3.52</v>
      </c>
    </row>
    <row r="1881" spans="1:1">
      <c r="A1881" s="2">
        <v>3.52</v>
      </c>
    </row>
    <row r="1882" spans="1:1">
      <c r="A1882" s="2">
        <v>3.78</v>
      </c>
    </row>
    <row r="1883" spans="1:1">
      <c r="A1883" s="2">
        <v>3.75</v>
      </c>
    </row>
    <row r="1884" spans="1:1">
      <c r="A1884" s="2">
        <v>3.52</v>
      </c>
    </row>
    <row r="1885" spans="1:1">
      <c r="A1885" s="2">
        <v>3.44</v>
      </c>
    </row>
    <row r="1886" spans="1:1">
      <c r="A1886" s="2">
        <v>3.76</v>
      </c>
    </row>
    <row r="1887" spans="1:1">
      <c r="A1887" s="2">
        <v>3.52</v>
      </c>
    </row>
    <row r="1888" spans="1:1">
      <c r="A1888" s="2">
        <v>3.78</v>
      </c>
    </row>
    <row r="1889" spans="1:1">
      <c r="A1889" s="2">
        <v>3.52</v>
      </c>
    </row>
    <row r="1890" spans="1:1">
      <c r="A1890" s="2">
        <v>3.52</v>
      </c>
    </row>
    <row r="1891" spans="1:1">
      <c r="A1891" s="2">
        <v>3.52</v>
      </c>
    </row>
    <row r="1892" spans="1:1">
      <c r="A1892" s="2">
        <v>3.74</v>
      </c>
    </row>
    <row r="1893" spans="1:1">
      <c r="A1893" s="2">
        <v>3.67</v>
      </c>
    </row>
    <row r="1894" spans="1:1">
      <c r="A1894" s="2">
        <v>3.53</v>
      </c>
    </row>
    <row r="1895" spans="1:1">
      <c r="A1895" s="2">
        <v>3.52</v>
      </c>
    </row>
    <row r="1896" spans="1:1">
      <c r="A1896" s="2">
        <v>3.46</v>
      </c>
    </row>
    <row r="1897" spans="1:1">
      <c r="A1897" s="2">
        <v>3.52</v>
      </c>
    </row>
    <row r="1898" spans="1:1">
      <c r="A1898" s="2">
        <v>3.52</v>
      </c>
    </row>
    <row r="1899" spans="1:1">
      <c r="A1899" s="2">
        <v>3.78</v>
      </c>
    </row>
    <row r="1900" spans="1:1">
      <c r="A1900" s="2">
        <v>3.52</v>
      </c>
    </row>
    <row r="1901" spans="1:1">
      <c r="A1901" s="2">
        <v>3.56</v>
      </c>
    </row>
    <row r="1902" spans="1:1">
      <c r="A1902" s="2">
        <v>3.52</v>
      </c>
    </row>
    <row r="1903" spans="1:1">
      <c r="A1903" s="2">
        <v>3.47</v>
      </c>
    </row>
    <row r="1904" spans="1:1">
      <c r="A1904" s="2">
        <v>3.52</v>
      </c>
    </row>
    <row r="1905" spans="1:1">
      <c r="A1905" s="2">
        <v>3.79</v>
      </c>
    </row>
    <row r="1906" spans="1:1">
      <c r="A1906" s="2">
        <v>3.64</v>
      </c>
    </row>
    <row r="1907" spans="1:1">
      <c r="A1907" s="2">
        <v>3.66</v>
      </c>
    </row>
    <row r="1908" spans="1:1">
      <c r="A1908" s="2">
        <v>3.52</v>
      </c>
    </row>
    <row r="1909" spans="1:1">
      <c r="A1909" s="2">
        <v>3.69</v>
      </c>
    </row>
    <row r="1910" spans="1:1">
      <c r="A1910" s="2">
        <v>3.57</v>
      </c>
    </row>
    <row r="1911" spans="1:1">
      <c r="A1911" s="2">
        <v>3.62</v>
      </c>
    </row>
    <row r="1912" spans="1:1">
      <c r="A1912" s="2">
        <v>3.53</v>
      </c>
    </row>
    <row r="1913" spans="1:1">
      <c r="A1913" s="2">
        <v>3.51</v>
      </c>
    </row>
    <row r="1914" spans="1:1">
      <c r="A1914" s="2">
        <v>3.52</v>
      </c>
    </row>
    <row r="1915" spans="1:1">
      <c r="A1915" s="2">
        <v>3.69</v>
      </c>
    </row>
    <row r="1916" spans="1:1">
      <c r="A1916" s="2">
        <v>3.52</v>
      </c>
    </row>
    <row r="1917" spans="1:1">
      <c r="A1917" s="2">
        <v>3.78</v>
      </c>
    </row>
    <row r="1918" spans="1:1">
      <c r="A1918" s="2">
        <v>3.51</v>
      </c>
    </row>
    <row r="1919" spans="1:1">
      <c r="A1919" s="2">
        <v>3.52</v>
      </c>
    </row>
    <row r="1920" spans="1:1">
      <c r="A1920" s="2">
        <v>3.78</v>
      </c>
    </row>
    <row r="1921" spans="1:1">
      <c r="A1921" s="2">
        <v>3.65</v>
      </c>
    </row>
    <row r="1922" spans="1:1">
      <c r="A1922" s="2">
        <v>3.53</v>
      </c>
    </row>
    <row r="1923" spans="1:1">
      <c r="A1923" s="2">
        <v>3.59</v>
      </c>
    </row>
    <row r="1924" spans="1:1">
      <c r="A1924" s="2">
        <v>3.78</v>
      </c>
    </row>
    <row r="1925" spans="1:1">
      <c r="A1925" s="2">
        <v>3.54</v>
      </c>
    </row>
    <row r="1926" spans="1:1">
      <c r="A1926" s="2">
        <v>3.52</v>
      </c>
    </row>
    <row r="1927" spans="1:1">
      <c r="A1927" s="2">
        <v>3.52</v>
      </c>
    </row>
    <row r="1928" spans="1:1">
      <c r="A1928" s="2">
        <v>3.78</v>
      </c>
    </row>
    <row r="1929" spans="1:1">
      <c r="A1929" s="2">
        <v>3.76</v>
      </c>
    </row>
    <row r="1930" spans="1:1">
      <c r="A1930" s="2">
        <v>3.52</v>
      </c>
    </row>
    <row r="1931" spans="1:1">
      <c r="A1931" s="2">
        <v>3.78</v>
      </c>
    </row>
    <row r="1932" spans="1:1">
      <c r="A1932" s="2">
        <v>3.41</v>
      </c>
    </row>
    <row r="1933" spans="1:1">
      <c r="A1933" s="2">
        <v>3.77</v>
      </c>
    </row>
    <row r="1934" spans="1:1">
      <c r="A1934" s="2">
        <v>3.51</v>
      </c>
    </row>
    <row r="1935" spans="1:1">
      <c r="A1935" s="2">
        <v>3.81</v>
      </c>
    </row>
    <row r="1936" spans="1:1">
      <c r="A1936" s="2">
        <v>3.52</v>
      </c>
    </row>
    <row r="1937" spans="1:1">
      <c r="A1937" s="2">
        <v>3.52</v>
      </c>
    </row>
    <row r="1938" spans="1:1">
      <c r="A1938" s="2">
        <v>3.46</v>
      </c>
    </row>
    <row r="1939" spans="1:1">
      <c r="A1939" s="2">
        <v>3.51</v>
      </c>
    </row>
    <row r="1940" spans="1:1">
      <c r="A1940" s="2">
        <v>3.73</v>
      </c>
    </row>
    <row r="1941" spans="1:1">
      <c r="A1941" s="2">
        <v>3.44</v>
      </c>
    </row>
    <row r="1942" spans="1:1">
      <c r="A1942" s="2">
        <v>3.52</v>
      </c>
    </row>
    <row r="1943" spans="1:1">
      <c r="A1943" s="2">
        <v>3.52</v>
      </c>
    </row>
    <row r="1944" spans="1:1">
      <c r="A1944" s="2">
        <v>3.52</v>
      </c>
    </row>
    <row r="1945" spans="1:1">
      <c r="A1945" s="2">
        <v>3.78</v>
      </c>
    </row>
    <row r="1946" spans="1:1">
      <c r="A1946" s="2">
        <v>3.78</v>
      </c>
    </row>
    <row r="1947" spans="1:1">
      <c r="A1947" s="2">
        <v>3.65</v>
      </c>
    </row>
    <row r="1948" spans="1:1">
      <c r="A1948" s="2">
        <v>3.52</v>
      </c>
    </row>
    <row r="1949" spans="1:1">
      <c r="A1949" s="2">
        <v>3.74</v>
      </c>
    </row>
    <row r="1950" spans="1:1">
      <c r="A1950" s="2">
        <v>3.45</v>
      </c>
    </row>
    <row r="1951" spans="1:1">
      <c r="A1951" s="2">
        <v>3.52</v>
      </c>
    </row>
    <row r="1952" spans="1:1">
      <c r="A1952" s="2">
        <v>3.56</v>
      </c>
    </row>
    <row r="1953" spans="1:1">
      <c r="A1953" s="2">
        <v>3.57</v>
      </c>
    </row>
    <row r="1954" spans="1:1">
      <c r="A1954" s="2">
        <v>3.52</v>
      </c>
    </row>
    <row r="1955" spans="1:1">
      <c r="A1955" s="2">
        <v>3.57</v>
      </c>
    </row>
    <row r="1956" spans="1:1">
      <c r="A1956" s="2">
        <v>3.62</v>
      </c>
    </row>
    <row r="1957" spans="1:1">
      <c r="A1957" s="2">
        <v>3.62</v>
      </c>
    </row>
    <row r="1958" spans="1:1">
      <c r="A1958" s="2">
        <v>3.52</v>
      </c>
    </row>
    <row r="1959" spans="1:1">
      <c r="A1959" s="2">
        <v>3.52</v>
      </c>
    </row>
    <row r="1960" spans="1:1">
      <c r="A1960" s="2">
        <v>3.52</v>
      </c>
    </row>
    <row r="1961" spans="1:1">
      <c r="A1961" s="2">
        <v>3.52</v>
      </c>
    </row>
    <row r="1962" spans="1:1">
      <c r="A1962" s="2">
        <v>3.78</v>
      </c>
    </row>
    <row r="1963" spans="1:1">
      <c r="A1963" s="2">
        <v>3.64</v>
      </c>
    </row>
    <row r="1964" spans="1:1">
      <c r="A1964" s="2">
        <v>3.52</v>
      </c>
    </row>
    <row r="1965" spans="1:1">
      <c r="A1965" s="2">
        <v>3.52</v>
      </c>
    </row>
    <row r="1966" spans="1:1">
      <c r="A1966" s="2">
        <v>3.68</v>
      </c>
    </row>
    <row r="1967" spans="1:1">
      <c r="A1967" s="2">
        <v>3.73</v>
      </c>
    </row>
    <row r="1968" spans="1:1">
      <c r="A1968" s="2">
        <v>3.52</v>
      </c>
    </row>
    <row r="1969" spans="1:1">
      <c r="A1969" s="2">
        <v>3.78</v>
      </c>
    </row>
    <row r="1970" spans="1:1">
      <c r="A1970" s="2">
        <v>3.56</v>
      </c>
    </row>
    <row r="1971" spans="1:1">
      <c r="A1971" s="2">
        <v>3.7</v>
      </c>
    </row>
    <row r="1972" spans="1:1">
      <c r="A1972" s="2">
        <v>3.52</v>
      </c>
    </row>
    <row r="1973" spans="1:1">
      <c r="A1973" s="2">
        <v>3.52</v>
      </c>
    </row>
    <row r="1974" spans="1:1">
      <c r="A1974" s="2">
        <v>3.62</v>
      </c>
    </row>
    <row r="1975" spans="1:1">
      <c r="A1975" s="2">
        <v>3.51</v>
      </c>
    </row>
    <row r="1976" spans="1:1">
      <c r="A1976" s="2">
        <v>3.52</v>
      </c>
    </row>
    <row r="1977" spans="1:1">
      <c r="A1977" s="2">
        <v>3.49</v>
      </c>
    </row>
    <row r="1978" spans="1:1">
      <c r="A1978" s="2">
        <v>3.52</v>
      </c>
    </row>
    <row r="1979" spans="1:1">
      <c r="A1979" s="2">
        <v>3.52</v>
      </c>
    </row>
    <row r="1980" spans="1:1">
      <c r="A1980" s="2">
        <v>3.52</v>
      </c>
    </row>
    <row r="1981" spans="1:1">
      <c r="A1981" s="2">
        <v>3.78</v>
      </c>
    </row>
    <row r="1982" spans="1:1">
      <c r="A1982" s="2">
        <v>3.42</v>
      </c>
    </row>
    <row r="1983" spans="1:1">
      <c r="A1983" s="2">
        <v>3.51</v>
      </c>
    </row>
    <row r="1984" spans="1:1">
      <c r="A1984" s="2">
        <v>3.52</v>
      </c>
    </row>
    <row r="1985" spans="1:1">
      <c r="A1985" s="2">
        <v>3.52</v>
      </c>
    </row>
    <row r="1986" spans="1:1">
      <c r="A1986" s="2">
        <v>3.52</v>
      </c>
    </row>
    <row r="1987" spans="1:1">
      <c r="A1987" s="2">
        <v>3.64</v>
      </c>
    </row>
    <row r="1988" spans="1:1">
      <c r="A1988" s="2">
        <v>3.52</v>
      </c>
    </row>
    <row r="1989" spans="1:1">
      <c r="A1989" s="2">
        <v>3.79</v>
      </c>
    </row>
    <row r="1990" spans="1:1">
      <c r="A1990" s="2">
        <v>3.55</v>
      </c>
    </row>
    <row r="1991" spans="1:1">
      <c r="A1991" s="2">
        <v>3.68</v>
      </c>
    </row>
    <row r="1992" spans="1:1">
      <c r="A1992" s="2">
        <v>3.78</v>
      </c>
    </row>
    <row r="1993" spans="1:1">
      <c r="A1993" s="2">
        <v>3.49</v>
      </c>
    </row>
    <row r="1994" spans="1:1">
      <c r="A1994" s="2">
        <v>3.71</v>
      </c>
    </row>
    <row r="1995" spans="1:1">
      <c r="A1995" s="2">
        <v>3.71</v>
      </c>
    </row>
    <row r="1996" spans="1:1">
      <c r="A1996" s="2">
        <v>3.53</v>
      </c>
    </row>
    <row r="1997" spans="1:1">
      <c r="A1997" s="2">
        <v>3.78</v>
      </c>
    </row>
    <row r="1998" spans="1:1">
      <c r="A1998" s="2">
        <v>3.46</v>
      </c>
    </row>
    <row r="1999" spans="1:1">
      <c r="A1999" s="2">
        <v>3.74</v>
      </c>
    </row>
    <row r="2000" spans="1:1">
      <c r="A2000" s="2">
        <v>3.52</v>
      </c>
    </row>
    <row r="2001" spans="1:1">
      <c r="A2001" s="2">
        <v>3.52</v>
      </c>
    </row>
    <row r="2002" spans="1:1">
      <c r="A2002" s="2">
        <v>3.48</v>
      </c>
    </row>
    <row r="2003" spans="1:1">
      <c r="A2003" s="2">
        <v>3.52</v>
      </c>
    </row>
    <row r="2004" spans="1:1">
      <c r="A2004" s="2">
        <v>3.52</v>
      </c>
    </row>
    <row r="2005" spans="1:1">
      <c r="A2005" s="2">
        <v>3.52</v>
      </c>
    </row>
    <row r="2006" spans="1:1">
      <c r="A2006" s="2">
        <v>3.76</v>
      </c>
    </row>
    <row r="2007" spans="1:1">
      <c r="A2007" s="2">
        <v>3.52</v>
      </c>
    </row>
    <row r="2008" spans="1:1">
      <c r="A2008" s="2">
        <v>3.52</v>
      </c>
    </row>
    <row r="2009" spans="1:1">
      <c r="A2009" s="2">
        <v>3.52</v>
      </c>
    </row>
    <row r="2010" spans="1:1">
      <c r="A2010" s="2">
        <v>3.52</v>
      </c>
    </row>
    <row r="2011" spans="1:1">
      <c r="A2011" s="2">
        <v>3.52</v>
      </c>
    </row>
    <row r="2012" spans="1:1">
      <c r="A2012" s="2">
        <v>3.49</v>
      </c>
    </row>
    <row r="2013" spans="1:1">
      <c r="A2013" s="2">
        <v>3.6</v>
      </c>
    </row>
    <row r="2014" spans="1:1">
      <c r="A2014" s="2">
        <v>3.78</v>
      </c>
    </row>
    <row r="2015" spans="1:1">
      <c r="A2015" s="2">
        <v>3.52</v>
      </c>
    </row>
    <row r="2016" spans="1:1">
      <c r="A2016" s="2">
        <v>3.47</v>
      </c>
    </row>
    <row r="2017" spans="1:1">
      <c r="A2017" s="2">
        <v>3.81</v>
      </c>
    </row>
    <row r="2018" spans="1:1">
      <c r="A2018" s="2">
        <v>3.42</v>
      </c>
    </row>
    <row r="2019" spans="1:1">
      <c r="A2019" s="2">
        <v>3.52</v>
      </c>
    </row>
    <row r="2020" spans="1:1">
      <c r="A2020" s="2">
        <v>3.61</v>
      </c>
    </row>
    <row r="2021" spans="1:1">
      <c r="A2021" s="2">
        <v>3.46</v>
      </c>
    </row>
    <row r="2022" spans="1:1">
      <c r="A2022" s="2">
        <v>3.81</v>
      </c>
    </row>
    <row r="2023" spans="1:1">
      <c r="A2023" s="2">
        <v>3.52</v>
      </c>
    </row>
    <row r="2024" spans="1:1">
      <c r="A2024" s="2">
        <v>3.44</v>
      </c>
    </row>
    <row r="2025" spans="1:1">
      <c r="A2025" s="2">
        <v>3.63</v>
      </c>
    </row>
    <row r="2026" spans="1:1">
      <c r="A2026" s="2">
        <v>3.54</v>
      </c>
    </row>
    <row r="2027" spans="1:1">
      <c r="A2027" s="2">
        <v>3.47</v>
      </c>
    </row>
    <row r="2028" spans="1:1">
      <c r="A2028" s="2">
        <v>3.56</v>
      </c>
    </row>
    <row r="2029" spans="1:1">
      <c r="A2029" s="2">
        <v>3.52</v>
      </c>
    </row>
    <row r="2030" spans="1:1">
      <c r="A2030" s="2">
        <v>3.52</v>
      </c>
    </row>
    <row r="2031" spans="1:1">
      <c r="A2031" s="2">
        <v>3.65</v>
      </c>
    </row>
    <row r="2032" spans="1:1">
      <c r="A2032" s="2">
        <v>3.52</v>
      </c>
    </row>
    <row r="2033" spans="1:1">
      <c r="A2033" s="2">
        <v>3.52</v>
      </c>
    </row>
    <row r="2034" spans="1:1">
      <c r="A2034" s="2">
        <v>3.52</v>
      </c>
    </row>
    <row r="2035" spans="1:1">
      <c r="A2035" s="2">
        <v>3.64</v>
      </c>
    </row>
    <row r="2036" spans="1:1">
      <c r="A2036" s="2">
        <v>3.52</v>
      </c>
    </row>
    <row r="2037" spans="1:1">
      <c r="A2037" s="2">
        <v>3.52</v>
      </c>
    </row>
    <row r="2038" spans="1:1">
      <c r="A2038" s="2">
        <v>3.52</v>
      </c>
    </row>
    <row r="2039" spans="1:1">
      <c r="A2039" s="2">
        <v>3.66</v>
      </c>
    </row>
    <row r="2040" spans="1:1">
      <c r="A2040" s="2">
        <v>3.82</v>
      </c>
    </row>
    <row r="2041" spans="1:1">
      <c r="A2041" s="2">
        <v>3.52</v>
      </c>
    </row>
    <row r="2042" spans="1:1">
      <c r="A2042" s="2">
        <v>3.69</v>
      </c>
    </row>
    <row r="2043" spans="1:1">
      <c r="A2043" s="2">
        <v>3.52</v>
      </c>
    </row>
    <row r="2044" spans="1:1">
      <c r="A2044" s="2">
        <v>3.5</v>
      </c>
    </row>
    <row r="2045" spans="1:1">
      <c r="A2045" s="2">
        <v>3.52</v>
      </c>
    </row>
    <row r="2046" spans="1:1">
      <c r="A2046" s="2">
        <v>3.6</v>
      </c>
    </row>
    <row r="2047" spans="1:1">
      <c r="A2047" s="2">
        <v>3.61</v>
      </c>
    </row>
    <row r="2048" spans="1:1">
      <c r="A2048" s="2">
        <v>3.52</v>
      </c>
    </row>
    <row r="2049" spans="1:1">
      <c r="A2049" s="2">
        <v>3.45</v>
      </c>
    </row>
    <row r="2050" spans="1:1">
      <c r="A2050" s="2">
        <v>3.52</v>
      </c>
    </row>
    <row r="2051" spans="1:1">
      <c r="A2051" s="2">
        <v>3.58</v>
      </c>
    </row>
    <row r="2052" spans="1:1">
      <c r="A2052" s="2">
        <v>3.63</v>
      </c>
    </row>
    <row r="2053" spans="1:1">
      <c r="A2053" s="2">
        <v>3.78</v>
      </c>
    </row>
    <row r="2054" spans="1:1">
      <c r="A2054" s="2">
        <v>3.52</v>
      </c>
    </row>
    <row r="2055" spans="1:1">
      <c r="A2055" s="2">
        <v>3.52</v>
      </c>
    </row>
    <row r="2056" spans="1:1">
      <c r="A2056" s="2">
        <v>3.72</v>
      </c>
    </row>
    <row r="2057" spans="1:1">
      <c r="A2057" s="2">
        <v>3.75</v>
      </c>
    </row>
    <row r="2058" spans="1:1">
      <c r="A2058" s="2">
        <v>3.52</v>
      </c>
    </row>
    <row r="2059" spans="1:1">
      <c r="A2059" s="2">
        <v>3.52</v>
      </c>
    </row>
    <row r="2060" spans="1:1">
      <c r="A2060" s="2">
        <v>3.52</v>
      </c>
    </row>
    <row r="2061" spans="1:1">
      <c r="A2061" s="2">
        <v>3.59</v>
      </c>
    </row>
    <row r="2062" spans="1:1">
      <c r="A2062" s="2">
        <v>3.52</v>
      </c>
    </row>
    <row r="2063" spans="1:1">
      <c r="A2063" s="2">
        <v>3.52</v>
      </c>
    </row>
    <row r="2064" spans="1:1">
      <c r="A2064" s="2">
        <v>3.53</v>
      </c>
    </row>
    <row r="2065" spans="1:1">
      <c r="A2065" s="2">
        <v>3.56</v>
      </c>
    </row>
    <row r="2066" spans="1:1">
      <c r="A2066" s="2">
        <v>3.52</v>
      </c>
    </row>
    <row r="2067" spans="1:1">
      <c r="A2067" s="2">
        <v>3.74</v>
      </c>
    </row>
    <row r="2068" spans="1:1">
      <c r="A2068" s="2">
        <v>3.68</v>
      </c>
    </row>
    <row r="2069" spans="1:1">
      <c r="A2069" s="2">
        <v>3.6</v>
      </c>
    </row>
    <row r="2070" spans="1:1">
      <c r="A2070" s="2">
        <v>3.67</v>
      </c>
    </row>
    <row r="2071" spans="1:1">
      <c r="A2071" s="2">
        <v>3.52</v>
      </c>
    </row>
    <row r="2072" spans="1:1">
      <c r="A2072" s="2">
        <v>3.43</v>
      </c>
    </row>
    <row r="2073" spans="1:1">
      <c r="A2073" s="2">
        <v>3.52</v>
      </c>
    </row>
    <row r="2074" spans="1:1">
      <c r="A2074" s="2">
        <v>3.52</v>
      </c>
    </row>
    <row r="2075" spans="1:1">
      <c r="A2075" s="2">
        <v>3.43</v>
      </c>
    </row>
    <row r="2076" spans="1:1">
      <c r="A2076" s="2">
        <v>3.52</v>
      </c>
    </row>
    <row r="2077" spans="1:1">
      <c r="A2077" s="2">
        <v>3.52</v>
      </c>
    </row>
    <row r="2078" spans="1:1">
      <c r="A2078" s="2">
        <v>3.56</v>
      </c>
    </row>
    <row r="2079" spans="1:1">
      <c r="A2079" s="2">
        <v>3.62</v>
      </c>
    </row>
    <row r="2080" spans="1:1">
      <c r="A2080" s="2">
        <v>3.57</v>
      </c>
    </row>
    <row r="2081" spans="1:1">
      <c r="A2081" s="2">
        <v>3.49</v>
      </c>
    </row>
    <row r="2082" spans="1:1">
      <c r="A2082" s="2">
        <v>3.5</v>
      </c>
    </row>
    <row r="2083" spans="1:1">
      <c r="A2083" s="2">
        <v>3.8</v>
      </c>
    </row>
    <row r="2084" spans="1:1">
      <c r="A2084" s="2">
        <v>3.73</v>
      </c>
    </row>
    <row r="2085" spans="1:1">
      <c r="A2085" s="2">
        <v>3.52</v>
      </c>
    </row>
    <row r="2086" spans="1:1">
      <c r="A2086" s="2">
        <v>3.73</v>
      </c>
    </row>
    <row r="2087" spans="1:1">
      <c r="A2087" s="2">
        <v>3.55</v>
      </c>
    </row>
    <row r="2088" spans="1:1">
      <c r="A2088" s="2">
        <v>3.52</v>
      </c>
    </row>
    <row r="2089" spans="1:1">
      <c r="A2089" s="2">
        <v>3.56</v>
      </c>
    </row>
    <row r="2090" spans="1:1">
      <c r="A2090" s="2">
        <v>3.48</v>
      </c>
    </row>
    <row r="2091" spans="1:1">
      <c r="A2091" s="2">
        <v>3.75</v>
      </c>
    </row>
    <row r="2092" spans="1:1">
      <c r="A2092" s="2">
        <v>3.52</v>
      </c>
    </row>
    <row r="2093" spans="1:1">
      <c r="A2093" s="2">
        <v>3.78</v>
      </c>
    </row>
    <row r="2094" spans="1:1">
      <c r="A2094" s="2">
        <v>3.7</v>
      </c>
    </row>
    <row r="2095" spans="1:1">
      <c r="A2095" s="2">
        <v>3.52</v>
      </c>
    </row>
    <row r="2096" spans="1:1">
      <c r="A2096" s="2">
        <v>3.52</v>
      </c>
    </row>
    <row r="2097" spans="1:1">
      <c r="A2097" s="2">
        <v>3.52</v>
      </c>
    </row>
    <row r="2098" spans="1:1">
      <c r="A2098" s="2">
        <v>3.43</v>
      </c>
    </row>
    <row r="2099" spans="1:1">
      <c r="A2099" s="2">
        <v>3.53</v>
      </c>
    </row>
    <row r="2100" spans="1:1">
      <c r="A2100" s="2">
        <v>3.52</v>
      </c>
    </row>
    <row r="2101" spans="1:1">
      <c r="A2101" s="2">
        <v>3.49</v>
      </c>
    </row>
    <row r="2102" spans="1:1">
      <c r="A2102" s="2">
        <v>3.52</v>
      </c>
    </row>
    <row r="2103" spans="1:1">
      <c r="A2103" s="2">
        <v>3.41</v>
      </c>
    </row>
    <row r="2104" spans="1:1">
      <c r="A2104" s="2">
        <v>3.62</v>
      </c>
    </row>
    <row r="2105" spans="1:1">
      <c r="A2105" s="2">
        <v>3.81</v>
      </c>
    </row>
    <row r="2106" spans="1:1">
      <c r="A2106" s="2">
        <v>3.54</v>
      </c>
    </row>
    <row r="2107" spans="1:1">
      <c r="A2107" s="2">
        <v>3.55</v>
      </c>
    </row>
    <row r="2108" spans="1:1">
      <c r="A2108" s="2">
        <v>3.57</v>
      </c>
    </row>
    <row r="2109" spans="1:1">
      <c r="A2109" s="2">
        <v>3.8</v>
      </c>
    </row>
    <row r="2110" spans="1:1">
      <c r="A2110" s="2">
        <v>3.46</v>
      </c>
    </row>
    <row r="2111" spans="1:1">
      <c r="A2111" s="2">
        <v>3.52</v>
      </c>
    </row>
    <row r="2112" spans="1:1">
      <c r="A2112" s="2">
        <v>3.52</v>
      </c>
    </row>
    <row r="2113" spans="1:1">
      <c r="A2113" s="2">
        <v>3.52</v>
      </c>
    </row>
    <row r="2114" spans="1:1">
      <c r="A2114" s="2">
        <v>3.52</v>
      </c>
    </row>
    <row r="2115" spans="1:1">
      <c r="A2115" s="2">
        <v>3.59</v>
      </c>
    </row>
    <row r="2116" spans="1:1">
      <c r="A2116" s="2">
        <v>3.74</v>
      </c>
    </row>
    <row r="2117" spans="1:1">
      <c r="A2117" s="2">
        <v>3.52</v>
      </c>
    </row>
    <row r="2118" spans="1:1">
      <c r="A2118" s="2">
        <v>3.64</v>
      </c>
    </row>
    <row r="2119" spans="1:1">
      <c r="A2119" s="2">
        <v>3.52</v>
      </c>
    </row>
    <row r="2120" spans="1:1">
      <c r="A2120" s="2">
        <v>3.52</v>
      </c>
    </row>
    <row r="2121" spans="1:1">
      <c r="A2121" s="2">
        <v>3.52</v>
      </c>
    </row>
    <row r="2122" spans="1:1">
      <c r="A2122" s="2">
        <v>3.52</v>
      </c>
    </row>
    <row r="2123" spans="1:1">
      <c r="A2123" s="2">
        <v>3.53</v>
      </c>
    </row>
    <row r="2124" spans="1:1">
      <c r="A2124" s="2">
        <v>3.52</v>
      </c>
    </row>
    <row r="2125" spans="1:1">
      <c r="A2125" s="2">
        <v>3.74</v>
      </c>
    </row>
    <row r="2126" spans="1:1">
      <c r="A2126" s="2">
        <v>3.78</v>
      </c>
    </row>
    <row r="2127" spans="1:1">
      <c r="A2127" s="2">
        <v>3.52</v>
      </c>
    </row>
    <row r="2128" spans="1:1">
      <c r="A2128" s="2">
        <v>3.63</v>
      </c>
    </row>
    <row r="2129" spans="1:1">
      <c r="A2129" s="2">
        <v>3.52</v>
      </c>
    </row>
    <row r="2130" spans="1:1">
      <c r="A2130" s="2">
        <v>3.44</v>
      </c>
    </row>
    <row r="2131" spans="1:1">
      <c r="A2131" s="2">
        <v>3.61</v>
      </c>
    </row>
    <row r="2132" spans="1:1">
      <c r="A2132" s="2">
        <v>3.52</v>
      </c>
    </row>
    <row r="2133" spans="1:1">
      <c r="A2133" s="2">
        <v>3.56</v>
      </c>
    </row>
    <row r="2134" spans="1:1">
      <c r="A2134" s="2">
        <v>3.58</v>
      </c>
    </row>
    <row r="2135" spans="1:1">
      <c r="A2135" s="2">
        <v>3.52</v>
      </c>
    </row>
    <row r="2136" spans="1:1">
      <c r="A2136" s="2">
        <v>3.69</v>
      </c>
    </row>
    <row r="2137" spans="1:1">
      <c r="A2137" s="2">
        <v>3.52</v>
      </c>
    </row>
    <row r="2138" spans="1:1">
      <c r="A2138" s="2">
        <v>3.49</v>
      </c>
    </row>
    <row r="2139" spans="1:1">
      <c r="A2139" s="2">
        <v>3.51</v>
      </c>
    </row>
    <row r="2140" spans="1:1">
      <c r="A2140" s="2">
        <v>3.78</v>
      </c>
    </row>
    <row r="2141" spans="1:1">
      <c r="A2141" s="2">
        <v>3.65</v>
      </c>
    </row>
    <row r="2142" spans="1:1">
      <c r="A2142" s="2">
        <v>3.52</v>
      </c>
    </row>
    <row r="2143" spans="1:1">
      <c r="A2143" s="2">
        <v>3.52</v>
      </c>
    </row>
    <row r="2144" spans="1:1">
      <c r="A2144" s="2">
        <v>3.52</v>
      </c>
    </row>
    <row r="2145" spans="1:1">
      <c r="A2145" s="2">
        <v>3.77</v>
      </c>
    </row>
    <row r="2146" spans="1:1">
      <c r="A2146" s="2">
        <v>3.69</v>
      </c>
    </row>
    <row r="2147" spans="1:1">
      <c r="A2147" s="2">
        <v>3.72</v>
      </c>
    </row>
    <row r="2148" spans="1:1">
      <c r="A2148" s="2">
        <v>3.51</v>
      </c>
    </row>
    <row r="2149" spans="1:1">
      <c r="A2149" s="2">
        <v>3.52</v>
      </c>
    </row>
    <row r="2150" spans="1:1">
      <c r="A2150" s="2">
        <v>3.67</v>
      </c>
    </row>
    <row r="2151" spans="1:1">
      <c r="A2151" s="2">
        <v>3.77</v>
      </c>
    </row>
    <row r="2152" spans="1:1">
      <c r="A2152" s="2">
        <v>3.52</v>
      </c>
    </row>
    <row r="2153" spans="1:1">
      <c r="A2153" s="2">
        <v>3.52</v>
      </c>
    </row>
    <row r="2154" spans="1:1">
      <c r="A2154" s="2">
        <v>3.77</v>
      </c>
    </row>
    <row r="2155" spans="1:1">
      <c r="A2155" s="2">
        <v>3.52</v>
      </c>
    </row>
    <row r="2156" spans="1:1">
      <c r="A2156" s="2">
        <v>3.78</v>
      </c>
    </row>
    <row r="2157" spans="1:1">
      <c r="A2157" s="2">
        <v>3.7</v>
      </c>
    </row>
    <row r="2158" spans="1:1">
      <c r="A2158" s="2">
        <v>3.52</v>
      </c>
    </row>
    <row r="2159" spans="1:1">
      <c r="A2159" s="2">
        <v>3.57</v>
      </c>
    </row>
    <row r="2160" spans="1:1">
      <c r="A2160" s="2">
        <v>3.58</v>
      </c>
    </row>
    <row r="2161" spans="1:1">
      <c r="A2161" s="2">
        <v>3.52</v>
      </c>
    </row>
    <row r="2162" spans="1:1">
      <c r="A2162" s="2">
        <v>3.78</v>
      </c>
    </row>
    <row r="2163" spans="1:1">
      <c r="A2163" s="2">
        <v>3.58</v>
      </c>
    </row>
    <row r="2164" spans="1:1">
      <c r="A2164" s="2">
        <v>3.68</v>
      </c>
    </row>
    <row r="2165" spans="1:1">
      <c r="A2165" s="2">
        <v>3.52</v>
      </c>
    </row>
    <row r="2166" spans="1:1">
      <c r="A2166" s="2">
        <v>3.73</v>
      </c>
    </row>
    <row r="2167" spans="1:1">
      <c r="A2167" s="2">
        <v>3.5</v>
      </c>
    </row>
    <row r="2168" spans="1:1">
      <c r="A2168" s="2">
        <v>3.51</v>
      </c>
    </row>
    <row r="2169" spans="1:1">
      <c r="A2169" s="2">
        <v>3.52</v>
      </c>
    </row>
    <row r="2170" spans="1:1">
      <c r="A2170" s="2">
        <v>3.81</v>
      </c>
    </row>
    <row r="2171" spans="1:1">
      <c r="A2171" s="2">
        <v>3.51</v>
      </c>
    </row>
    <row r="2172" spans="1:1">
      <c r="A2172" s="2">
        <v>3.52</v>
      </c>
    </row>
    <row r="2173" spans="1:1">
      <c r="A2173" s="2">
        <v>3.52</v>
      </c>
    </row>
    <row r="2174" spans="1:1">
      <c r="A2174" s="2">
        <v>3.62</v>
      </c>
    </row>
    <row r="2175" spans="1:1">
      <c r="A2175" s="2">
        <v>3.52</v>
      </c>
    </row>
    <row r="2176" spans="1:1">
      <c r="A2176" s="2">
        <v>3.78</v>
      </c>
    </row>
    <row r="2177" spans="1:1">
      <c r="A2177" s="2">
        <v>3.52</v>
      </c>
    </row>
    <row r="2178" spans="1:1">
      <c r="A2178" s="2">
        <v>3.52</v>
      </c>
    </row>
    <row r="2179" spans="1:1">
      <c r="A2179" s="2">
        <v>3.52</v>
      </c>
    </row>
    <row r="2180" spans="1:1">
      <c r="A2180" s="2">
        <v>3.52</v>
      </c>
    </row>
    <row r="2181" spans="1:1">
      <c r="A2181" s="2">
        <v>3.55</v>
      </c>
    </row>
    <row r="2182" spans="1:1">
      <c r="A2182" s="2">
        <v>3.52</v>
      </c>
    </row>
    <row r="2183" spans="1:1">
      <c r="A2183" s="2">
        <v>3.58</v>
      </c>
    </row>
    <row r="2184" spans="1:1">
      <c r="A2184" s="2">
        <v>3.48</v>
      </c>
    </row>
    <row r="2185" spans="1:1">
      <c r="A2185" s="2">
        <v>3.59</v>
      </c>
    </row>
    <row r="2186" spans="1:1">
      <c r="A2186" s="2">
        <v>3.52</v>
      </c>
    </row>
    <row r="2187" spans="1:1">
      <c r="A2187" s="2">
        <v>3.65</v>
      </c>
    </row>
    <row r="2188" spans="1:1">
      <c r="A2188" s="2">
        <v>3.52</v>
      </c>
    </row>
    <row r="2189" spans="1:1">
      <c r="A2189" s="2">
        <v>3.78</v>
      </c>
    </row>
    <row r="2190" spans="1:1">
      <c r="A2190" s="2">
        <v>3.74</v>
      </c>
    </row>
    <row r="2191" spans="1:1">
      <c r="A2191" s="2">
        <v>3.67</v>
      </c>
    </row>
    <row r="2192" spans="1:1">
      <c r="A2192" s="2">
        <v>3.52</v>
      </c>
    </row>
    <row r="2193" spans="1:1">
      <c r="A2193" s="2">
        <v>3.73</v>
      </c>
    </row>
    <row r="2194" spans="1:1">
      <c r="A2194" s="2">
        <v>3.53</v>
      </c>
    </row>
    <row r="2195" spans="1:1">
      <c r="A2195" s="2">
        <v>3.68</v>
      </c>
    </row>
    <row r="2196" spans="1:1">
      <c r="A2196" s="2">
        <v>3.52</v>
      </c>
    </row>
    <row r="2197" spans="1:1">
      <c r="A2197" s="2">
        <v>3.6</v>
      </c>
    </row>
    <row r="2198" spans="1:1">
      <c r="A2198" s="2">
        <v>3.69</v>
      </c>
    </row>
    <row r="2199" spans="1:1">
      <c r="A2199" s="2">
        <v>3.52</v>
      </c>
    </row>
    <row r="2200" spans="1:1">
      <c r="A2200" s="2">
        <v>3.41</v>
      </c>
    </row>
    <row r="2201" spans="1:1">
      <c r="A2201" s="2">
        <v>3.51</v>
      </c>
    </row>
    <row r="2202" spans="1:1">
      <c r="A2202" s="2">
        <v>3.52</v>
      </c>
    </row>
    <row r="2203" spans="1:1">
      <c r="A2203" s="2">
        <v>3.45</v>
      </c>
    </row>
    <row r="2204" spans="1:1">
      <c r="A2204" s="2">
        <v>3.78</v>
      </c>
    </row>
    <row r="2205" spans="1:1">
      <c r="A2205" s="2">
        <v>3.52</v>
      </c>
    </row>
    <row r="2206" spans="1:1">
      <c r="A2206" s="2">
        <v>3.41</v>
      </c>
    </row>
    <row r="2207" spans="1:1">
      <c r="A2207" s="2">
        <v>3.49</v>
      </c>
    </row>
    <row r="2208" spans="1:1">
      <c r="A2208" s="2">
        <v>3.5</v>
      </c>
    </row>
    <row r="2209" spans="1:1">
      <c r="A2209" s="2">
        <v>3.52</v>
      </c>
    </row>
    <row r="2210" spans="1:1">
      <c r="A2210" s="2">
        <v>3.54</v>
      </c>
    </row>
    <row r="2211" spans="1:1">
      <c r="A2211" s="2">
        <v>3.52</v>
      </c>
    </row>
    <row r="2212" spans="1:1">
      <c r="A2212" s="2">
        <v>3.52</v>
      </c>
    </row>
    <row r="2213" spans="1:1">
      <c r="A2213" s="2">
        <v>3.58</v>
      </c>
    </row>
    <row r="2214" spans="1:1">
      <c r="A2214" s="2">
        <v>3.52</v>
      </c>
    </row>
    <row r="2215" spans="1:1">
      <c r="A2215" s="2">
        <v>3.51</v>
      </c>
    </row>
    <row r="2216" spans="1:1">
      <c r="A2216" s="2">
        <v>3.59</v>
      </c>
    </row>
    <row r="2217" spans="1:1">
      <c r="A2217" s="2">
        <v>3.56</v>
      </c>
    </row>
    <row r="2218" spans="1:1">
      <c r="A2218" s="2">
        <v>3.73</v>
      </c>
    </row>
    <row r="2219" spans="1:1">
      <c r="A2219" s="2">
        <v>3.41</v>
      </c>
    </row>
    <row r="2220" spans="1:1">
      <c r="A2220" s="2">
        <v>3.71</v>
      </c>
    </row>
    <row r="2221" spans="1:1">
      <c r="A2221" s="2">
        <v>3.51</v>
      </c>
    </row>
    <row r="2222" spans="1:1">
      <c r="A2222" s="2">
        <v>3.52</v>
      </c>
    </row>
    <row r="2223" spans="1:1">
      <c r="A2223" s="2">
        <v>3.63</v>
      </c>
    </row>
    <row r="2224" spans="1:1">
      <c r="A2224" s="2">
        <v>3.45</v>
      </c>
    </row>
    <row r="2225" spans="1:1">
      <c r="A2225" s="2">
        <v>3.48</v>
      </c>
    </row>
    <row r="2226" spans="1:1">
      <c r="A2226" s="2">
        <v>3.52</v>
      </c>
    </row>
    <row r="2227" spans="1:1">
      <c r="A2227" s="2">
        <v>3.52</v>
      </c>
    </row>
    <row r="2228" spans="1:1">
      <c r="A2228" s="2">
        <v>3.51</v>
      </c>
    </row>
    <row r="2229" spans="1:1">
      <c r="A2229" s="2">
        <v>3.52</v>
      </c>
    </row>
    <row r="2230" spans="1:1">
      <c r="A2230" s="2">
        <v>3.63</v>
      </c>
    </row>
    <row r="2231" spans="1:1">
      <c r="A2231" s="2">
        <v>3.41</v>
      </c>
    </row>
    <row r="2232" spans="1:1">
      <c r="A2232" s="2">
        <v>3.78</v>
      </c>
    </row>
    <row r="2233" spans="1:1">
      <c r="A2233" s="2">
        <v>3.52</v>
      </c>
    </row>
    <row r="2234" spans="1:1">
      <c r="A2234" s="2">
        <v>3.52</v>
      </c>
    </row>
    <row r="2235" spans="1:1">
      <c r="A2235" s="2">
        <v>3.6</v>
      </c>
    </row>
    <row r="2236" spans="1:1">
      <c r="A2236" s="2">
        <v>3.52</v>
      </c>
    </row>
    <row r="2237" spans="1:1">
      <c r="A2237" s="2">
        <v>3.52</v>
      </c>
    </row>
    <row r="2238" spans="1:1">
      <c r="A2238" s="2">
        <v>3.59</v>
      </c>
    </row>
    <row r="2239" spans="1:1">
      <c r="A2239" s="2">
        <v>3.6</v>
      </c>
    </row>
    <row r="2240" spans="1:1">
      <c r="A2240" s="2">
        <v>3.52</v>
      </c>
    </row>
    <row r="2241" spans="1:1">
      <c r="A2241" s="2">
        <v>3.67</v>
      </c>
    </row>
    <row r="2242" spans="1:1">
      <c r="A2242" s="2">
        <v>3.62</v>
      </c>
    </row>
    <row r="2243" spans="1:1">
      <c r="A2243" s="2">
        <v>3.52</v>
      </c>
    </row>
    <row r="2244" spans="1:1">
      <c r="A2244" s="2">
        <v>3.52</v>
      </c>
    </row>
    <row r="2245" spans="1:1">
      <c r="A2245" s="2">
        <v>3.52</v>
      </c>
    </row>
    <row r="2246" spans="1:1">
      <c r="A2246" s="2">
        <v>3.78</v>
      </c>
    </row>
    <row r="2247" spans="1:1">
      <c r="A2247" s="2">
        <v>3.65</v>
      </c>
    </row>
    <row r="2248" spans="1:1">
      <c r="A2248" s="2">
        <v>3.64</v>
      </c>
    </row>
    <row r="2249" spans="1:1">
      <c r="A2249" s="2">
        <v>3.78</v>
      </c>
    </row>
    <row r="2250" spans="1:1">
      <c r="A2250" s="2">
        <v>3.48</v>
      </c>
    </row>
    <row r="2251" spans="1:1">
      <c r="A2251" s="2">
        <v>3.69</v>
      </c>
    </row>
    <row r="2252" spans="1:1">
      <c r="A2252" s="2">
        <v>3.52</v>
      </c>
    </row>
    <row r="2253" spans="1:1">
      <c r="A2253" s="2">
        <v>3.52</v>
      </c>
    </row>
    <row r="2254" spans="1:1">
      <c r="A2254" s="2">
        <v>3.57</v>
      </c>
    </row>
    <row r="2255" spans="1:1">
      <c r="A2255" s="2">
        <v>3.67</v>
      </c>
    </row>
    <row r="2256" spans="1:1">
      <c r="A2256" s="2">
        <v>3.45</v>
      </c>
    </row>
    <row r="2257" spans="1:1">
      <c r="A2257" s="2">
        <v>3.78</v>
      </c>
    </row>
    <row r="2258" spans="1:1">
      <c r="A2258" s="2">
        <v>3.52</v>
      </c>
    </row>
    <row r="2259" spans="1:1">
      <c r="A2259" s="2">
        <v>3.65</v>
      </c>
    </row>
    <row r="2260" spans="1:1">
      <c r="A2260" s="2">
        <v>3.78</v>
      </c>
    </row>
    <row r="2261" spans="1:1">
      <c r="A2261" s="2">
        <v>3.61</v>
      </c>
    </row>
    <row r="2262" spans="1:1">
      <c r="A2262" s="2">
        <v>3.52</v>
      </c>
    </row>
    <row r="2263" spans="1:1">
      <c r="A2263" s="2">
        <v>3.65</v>
      </c>
    </row>
    <row r="2264" spans="1:1">
      <c r="A2264" s="2">
        <v>3.56</v>
      </c>
    </row>
    <row r="2265" spans="1:1">
      <c r="A2265" s="2">
        <v>3.52</v>
      </c>
    </row>
    <row r="2266" spans="1:1">
      <c r="A2266" s="2">
        <v>3.43</v>
      </c>
    </row>
    <row r="2267" spans="1:1">
      <c r="A2267" s="2">
        <v>3.52</v>
      </c>
    </row>
    <row r="2268" spans="1:1">
      <c r="A2268" s="2">
        <v>3.8</v>
      </c>
    </row>
    <row r="2269" spans="1:1">
      <c r="A2269" s="2">
        <v>3.73</v>
      </c>
    </row>
    <row r="2270" spans="1:1">
      <c r="A2270" s="2">
        <v>3.78</v>
      </c>
    </row>
    <row r="2271" spans="1:1">
      <c r="A2271" s="2">
        <v>3.52</v>
      </c>
    </row>
    <row r="2272" spans="1:1">
      <c r="A2272" s="2">
        <v>3.48</v>
      </c>
    </row>
    <row r="2273" spans="1:1">
      <c r="A2273" s="2">
        <v>3.78</v>
      </c>
    </row>
    <row r="2274" spans="1:1">
      <c r="A2274" s="2">
        <v>3.67</v>
      </c>
    </row>
    <row r="2275" spans="1:1">
      <c r="A2275" s="2">
        <v>3.68</v>
      </c>
    </row>
    <row r="2276" spans="1:1">
      <c r="A2276" s="2">
        <v>3.52</v>
      </c>
    </row>
    <row r="2277" spans="1:1">
      <c r="A2277" s="2">
        <v>3.73</v>
      </c>
    </row>
    <row r="2278" spans="1:1">
      <c r="A2278" s="2">
        <v>3.52</v>
      </c>
    </row>
    <row r="2279" spans="1:1">
      <c r="A2279" s="2">
        <v>3.77</v>
      </c>
    </row>
    <row r="2280" spans="1:1">
      <c r="A2280" s="2">
        <v>3.52</v>
      </c>
    </row>
    <row r="2281" spans="1:1">
      <c r="A2281" s="2">
        <v>3.73</v>
      </c>
    </row>
    <row r="2282" spans="1:1">
      <c r="A2282" s="2">
        <v>3.52</v>
      </c>
    </row>
    <row r="2283" spans="1:1">
      <c r="A2283" s="2">
        <v>3.52</v>
      </c>
    </row>
    <row r="2284" spans="1:1">
      <c r="A2284" s="2">
        <v>3.52</v>
      </c>
    </row>
    <row r="2285" spans="1:1">
      <c r="A2285" s="2">
        <v>3.52</v>
      </c>
    </row>
    <row r="2286" spans="1:1">
      <c r="A2286" s="2">
        <v>3.78</v>
      </c>
    </row>
    <row r="2287" spans="1:1">
      <c r="A2287" s="2">
        <v>3.46</v>
      </c>
    </row>
    <row r="2288" spans="1:1">
      <c r="A2288" s="2">
        <v>3.51</v>
      </c>
    </row>
    <row r="2289" spans="1:1">
      <c r="A2289" s="2">
        <v>3.52</v>
      </c>
    </row>
    <row r="2290" spans="1:1">
      <c r="A2290" s="2">
        <v>3.65</v>
      </c>
    </row>
    <row r="2291" spans="1:1">
      <c r="A2291" s="2">
        <v>3.7</v>
      </c>
    </row>
    <row r="2292" spans="1:1">
      <c r="A2292" s="2">
        <v>3.52</v>
      </c>
    </row>
    <row r="2293" spans="1:1">
      <c r="A2293" s="2">
        <v>3.52</v>
      </c>
    </row>
    <row r="2294" spans="1:1">
      <c r="A2294" s="2">
        <v>3.61</v>
      </c>
    </row>
    <row r="2295" spans="1:1">
      <c r="A2295" s="2">
        <v>3.51</v>
      </c>
    </row>
    <row r="2296" spans="1:1">
      <c r="A2296" s="2">
        <v>3.75</v>
      </c>
    </row>
    <row r="2297" spans="1:1">
      <c r="A2297" s="2">
        <v>3.52</v>
      </c>
    </row>
    <row r="2298" spans="1:1">
      <c r="A2298" s="2">
        <v>3.52</v>
      </c>
    </row>
    <row r="2299" spans="1:1">
      <c r="A2299" s="2">
        <v>3.62</v>
      </c>
    </row>
    <row r="2300" spans="1:1">
      <c r="A2300" s="2">
        <v>3.52</v>
      </c>
    </row>
    <row r="2301" spans="1:1">
      <c r="A2301" s="2">
        <v>3.46</v>
      </c>
    </row>
    <row r="2302" spans="1:1">
      <c r="A2302" s="2">
        <v>3.62</v>
      </c>
    </row>
    <row r="2303" spans="1:1">
      <c r="A2303" s="2">
        <v>3.52</v>
      </c>
    </row>
    <row r="2304" spans="1:1">
      <c r="A2304" s="2">
        <v>3.63</v>
      </c>
    </row>
    <row r="2305" spans="1:1">
      <c r="A2305" s="2">
        <v>3.51</v>
      </c>
    </row>
    <row r="2306" spans="1:1">
      <c r="A2306" s="2">
        <v>3.52</v>
      </c>
    </row>
    <row r="2307" spans="1:1">
      <c r="A2307" s="2">
        <v>3.64</v>
      </c>
    </row>
    <row r="2308" spans="1:1">
      <c r="A2308" s="2">
        <v>3.52</v>
      </c>
    </row>
    <row r="2309" spans="1:1">
      <c r="A2309" s="2">
        <v>3.49</v>
      </c>
    </row>
    <row r="2310" spans="1:1">
      <c r="A2310" s="2">
        <v>3.78</v>
      </c>
    </row>
    <row r="2311" spans="1:1">
      <c r="A2311" s="2">
        <v>3.52</v>
      </c>
    </row>
    <row r="2312" spans="1:1">
      <c r="A2312" s="2">
        <v>3.82</v>
      </c>
    </row>
    <row r="2313" spans="1:1">
      <c r="A2313" s="2">
        <v>3.72</v>
      </c>
    </row>
    <row r="2314" spans="1:1">
      <c r="A2314" s="2">
        <v>3.52</v>
      </c>
    </row>
    <row r="2315" spans="1:1">
      <c r="A2315" s="2">
        <v>3.52</v>
      </c>
    </row>
    <row r="2316" spans="1:1">
      <c r="A2316" s="2">
        <v>3.52</v>
      </c>
    </row>
    <row r="2317" spans="1:1">
      <c r="A2317" s="2">
        <v>3.52</v>
      </c>
    </row>
    <row r="2318" spans="1:1">
      <c r="A2318" s="2">
        <v>3.67</v>
      </c>
    </row>
    <row r="2319" spans="1:1">
      <c r="A2319" s="2">
        <v>3.51</v>
      </c>
    </row>
    <row r="2320" spans="1:1">
      <c r="A2320" s="2">
        <v>3.48</v>
      </c>
    </row>
    <row r="2321" spans="1:1">
      <c r="A2321" s="2">
        <v>3.69</v>
      </c>
    </row>
    <row r="2322" spans="1:1">
      <c r="A2322" s="2">
        <v>3.59</v>
      </c>
    </row>
    <row r="2323" spans="1:1">
      <c r="A2323" s="2">
        <v>3.64</v>
      </c>
    </row>
    <row r="2324" spans="1:1">
      <c r="A2324" s="2">
        <v>3.52</v>
      </c>
    </row>
    <row r="2325" spans="1:1">
      <c r="A2325" s="2">
        <v>3.74</v>
      </c>
    </row>
    <row r="2326" spans="1:1">
      <c r="A2326" s="2">
        <v>3.52</v>
      </c>
    </row>
    <row r="2327" spans="1:1">
      <c r="A2327" s="2">
        <v>3.44</v>
      </c>
    </row>
    <row r="2328" spans="1:1">
      <c r="A2328" s="2">
        <v>3.46</v>
      </c>
    </row>
    <row r="2329" spans="1:1">
      <c r="A2329" s="2">
        <v>3.53</v>
      </c>
    </row>
    <row r="2330" spans="1:1">
      <c r="A2330" s="2">
        <v>3.68</v>
      </c>
    </row>
    <row r="2331" spans="1:1">
      <c r="A2331" s="2">
        <v>3.58</v>
      </c>
    </row>
    <row r="2332" spans="1:1">
      <c r="A2332" s="2">
        <v>3.78</v>
      </c>
    </row>
    <row r="2333" spans="1:1">
      <c r="A2333" s="2">
        <v>3.51</v>
      </c>
    </row>
    <row r="2334" spans="1:1">
      <c r="A2334" s="2">
        <v>3.72</v>
      </c>
    </row>
    <row r="2335" spans="1:1">
      <c r="A2335" s="2">
        <v>3.52</v>
      </c>
    </row>
    <row r="2336" spans="1:1">
      <c r="A2336" s="2">
        <v>3.78</v>
      </c>
    </row>
    <row r="2337" spans="1:1">
      <c r="A2337" s="2">
        <v>3.52</v>
      </c>
    </row>
    <row r="2338" spans="1:1">
      <c r="A2338" s="2">
        <v>3.52</v>
      </c>
    </row>
    <row r="2339" spans="1:1">
      <c r="A2339" s="2">
        <v>3.73</v>
      </c>
    </row>
    <row r="2340" spans="1:1">
      <c r="A2340" s="2">
        <v>3.46</v>
      </c>
    </row>
    <row r="2341" spans="1:1">
      <c r="A2341" s="2">
        <v>3.52</v>
      </c>
    </row>
    <row r="2342" spans="1:1">
      <c r="A2342" s="2">
        <v>3.78</v>
      </c>
    </row>
    <row r="2343" spans="1:1">
      <c r="A2343" s="2">
        <v>3.6</v>
      </c>
    </row>
    <row r="2344" spans="1:1">
      <c r="A2344" s="2">
        <v>3.52</v>
      </c>
    </row>
    <row r="2345" spans="1:1">
      <c r="A2345" s="2">
        <v>3.52</v>
      </c>
    </row>
    <row r="2346" spans="1:1">
      <c r="A2346" s="2">
        <v>3.58</v>
      </c>
    </row>
    <row r="2347" spans="1:1">
      <c r="A2347" s="2">
        <v>3.47</v>
      </c>
    </row>
    <row r="2348" spans="1:1">
      <c r="A2348" s="2">
        <v>3.59</v>
      </c>
    </row>
    <row r="2349" spans="1:1">
      <c r="A2349" s="2">
        <v>3.52</v>
      </c>
    </row>
    <row r="2350" spans="1:1">
      <c r="A2350" s="2">
        <v>3.68</v>
      </c>
    </row>
    <row r="2351" spans="1:1">
      <c r="A2351" s="2">
        <v>3.51</v>
      </c>
    </row>
    <row r="2352" spans="1:1">
      <c r="A2352" s="2">
        <v>3.66</v>
      </c>
    </row>
    <row r="2353" spans="1:1">
      <c r="A2353" s="2">
        <v>3.52</v>
      </c>
    </row>
    <row r="2354" spans="1:1">
      <c r="A2354" s="2">
        <v>3.56</v>
      </c>
    </row>
    <row r="2355" spans="1:1">
      <c r="A2355" s="2">
        <v>3.76</v>
      </c>
    </row>
    <row r="2356" spans="1:1">
      <c r="A2356" s="2">
        <v>3.67</v>
      </c>
    </row>
    <row r="2357" spans="1:1">
      <c r="A2357" s="2">
        <v>3.66</v>
      </c>
    </row>
    <row r="2358" spans="1:1">
      <c r="A2358" s="2">
        <v>3.69</v>
      </c>
    </row>
    <row r="2359" spans="1:1">
      <c r="A2359" s="2">
        <v>3.41</v>
      </c>
    </row>
    <row r="2360" spans="1:1">
      <c r="A2360" s="2">
        <v>3.55</v>
      </c>
    </row>
    <row r="2361" spans="1:1">
      <c r="A2361" s="2">
        <v>3.52</v>
      </c>
    </row>
    <row r="2362" spans="1:1">
      <c r="A2362" s="2">
        <v>3.79</v>
      </c>
    </row>
    <row r="2363" spans="1:1">
      <c r="A2363" s="2">
        <v>3.7</v>
      </c>
    </row>
    <row r="2364" spans="1:1">
      <c r="A2364" s="2">
        <v>3.52</v>
      </c>
    </row>
    <row r="2365" spans="1:1">
      <c r="A2365" s="2">
        <v>3.66</v>
      </c>
    </row>
    <row r="2366" spans="1:1">
      <c r="A2366" s="2">
        <v>3.6</v>
      </c>
    </row>
    <row r="2367" spans="1:1">
      <c r="A2367" s="2">
        <v>3.52</v>
      </c>
    </row>
    <row r="2368" spans="1:1">
      <c r="A2368" s="2">
        <v>3.64</v>
      </c>
    </row>
    <row r="2369" spans="1:1">
      <c r="A2369" s="2">
        <v>3.64</v>
      </c>
    </row>
    <row r="2370" spans="1:1">
      <c r="A2370" s="2">
        <v>3.52</v>
      </c>
    </row>
    <row r="2371" spans="1:1">
      <c r="A2371" s="2">
        <v>3.7</v>
      </c>
    </row>
    <row r="2372" spans="1:1">
      <c r="A2372" s="2">
        <v>3.52</v>
      </c>
    </row>
    <row r="2373" spans="1:1">
      <c r="A2373" s="2">
        <v>3.52</v>
      </c>
    </row>
    <row r="2374" spans="1:1">
      <c r="A2374" s="2">
        <v>3.78</v>
      </c>
    </row>
    <row r="2375" spans="1:1">
      <c r="A2375" s="2">
        <v>3.59</v>
      </c>
    </row>
    <row r="2376" spans="1:1">
      <c r="A2376" s="2">
        <v>3.52</v>
      </c>
    </row>
    <row r="2377" spans="1:1">
      <c r="A2377" s="2">
        <v>3.52</v>
      </c>
    </row>
    <row r="2378" spans="1:1">
      <c r="A2378" s="2">
        <v>3.52</v>
      </c>
    </row>
    <row r="2379" spans="1:1">
      <c r="A2379" s="2">
        <v>3.42</v>
      </c>
    </row>
    <row r="2380" spans="1:1">
      <c r="A2380" s="2">
        <v>3.48</v>
      </c>
    </row>
    <row r="2381" spans="1:1">
      <c r="A2381" s="2">
        <v>3.52</v>
      </c>
    </row>
    <row r="2382" spans="1:1">
      <c r="A2382" s="2">
        <v>3.47</v>
      </c>
    </row>
    <row r="2383" spans="1:1">
      <c r="A2383" s="2">
        <v>3.52</v>
      </c>
    </row>
    <row r="2384" spans="1:1">
      <c r="A2384" s="2">
        <v>3.52</v>
      </c>
    </row>
    <row r="2385" spans="1:1">
      <c r="A2385" s="2">
        <v>3.52</v>
      </c>
    </row>
    <row r="2386" spans="1:1">
      <c r="A2386" s="2">
        <v>3.78</v>
      </c>
    </row>
    <row r="2387" spans="1:1">
      <c r="A2387" s="2">
        <v>3.78</v>
      </c>
    </row>
    <row r="2388" spans="1:1">
      <c r="A2388" s="2">
        <v>3.74</v>
      </c>
    </row>
    <row r="2389" spans="1:1">
      <c r="A2389" s="2">
        <v>3.52</v>
      </c>
    </row>
    <row r="2390" spans="1:1">
      <c r="A2390" s="2">
        <v>3.46</v>
      </c>
    </row>
    <row r="2391" spans="1:1">
      <c r="A2391" s="2">
        <v>3.41</v>
      </c>
    </row>
    <row r="2392" spans="1:1">
      <c r="A2392" s="2">
        <v>3.47</v>
      </c>
    </row>
    <row r="2393" spans="1:1">
      <c r="A2393" s="2">
        <v>3.76</v>
      </c>
    </row>
    <row r="2394" spans="1:1">
      <c r="A2394" s="2">
        <v>3.7</v>
      </c>
    </row>
    <row r="2395" spans="1:1">
      <c r="A2395" s="2">
        <v>3.69</v>
      </c>
    </row>
    <row r="2396" spans="1:1">
      <c r="A2396" s="2">
        <v>3.51</v>
      </c>
    </row>
    <row r="2397" spans="1:1">
      <c r="A2397" s="2">
        <v>3.52</v>
      </c>
    </row>
    <row r="2398" spans="1:1">
      <c r="A2398" s="2">
        <v>3.52</v>
      </c>
    </row>
    <row r="2399" spans="1:1">
      <c r="A2399" s="2">
        <v>3.45</v>
      </c>
    </row>
    <row r="2400" spans="1:1">
      <c r="A2400" s="2">
        <v>3.64</v>
      </c>
    </row>
    <row r="2401" spans="1:1">
      <c r="A2401" s="2">
        <v>3.52</v>
      </c>
    </row>
    <row r="2402" spans="1:1">
      <c r="A2402" s="2">
        <v>3.52</v>
      </c>
    </row>
    <row r="2403" spans="1:1">
      <c r="A2403" s="2">
        <v>3.51</v>
      </c>
    </row>
    <row r="2404" spans="1:1">
      <c r="A2404" s="2">
        <v>3.52</v>
      </c>
    </row>
    <row r="2405" spans="1:1">
      <c r="A2405" s="2">
        <v>3.56</v>
      </c>
    </row>
    <row r="2406" spans="1:1">
      <c r="A2406" s="2">
        <v>3.44</v>
      </c>
    </row>
    <row r="2407" spans="1:1">
      <c r="A2407" s="2">
        <v>3.52</v>
      </c>
    </row>
    <row r="2408" spans="1:1">
      <c r="A2408" s="2">
        <v>3.8</v>
      </c>
    </row>
    <row r="2409" spans="1:1">
      <c r="A2409" s="2">
        <v>3.5</v>
      </c>
    </row>
    <row r="2410" spans="1:1">
      <c r="A2410" s="2">
        <v>3.52</v>
      </c>
    </row>
    <row r="2411" spans="1:1">
      <c r="A2411" s="2">
        <v>3.52</v>
      </c>
    </row>
    <row r="2412" spans="1:1">
      <c r="A2412" s="2">
        <v>3.47</v>
      </c>
    </row>
    <row r="2413" spans="1:1">
      <c r="A2413" s="2">
        <v>3.52</v>
      </c>
    </row>
    <row r="2414" spans="1:1">
      <c r="A2414" s="2">
        <v>3.52</v>
      </c>
    </row>
    <row r="2415" spans="1:1">
      <c r="A2415" s="2">
        <v>3.52</v>
      </c>
    </row>
    <row r="2416" spans="1:1">
      <c r="A2416" s="2">
        <v>3.52</v>
      </c>
    </row>
    <row r="2417" spans="1:1">
      <c r="A2417" s="2">
        <v>3.73</v>
      </c>
    </row>
    <row r="2418" spans="1:1">
      <c r="A2418" s="2">
        <v>3.52</v>
      </c>
    </row>
    <row r="2419" spans="1:1">
      <c r="A2419" s="2">
        <v>3.52</v>
      </c>
    </row>
    <row r="2420" spans="1:1">
      <c r="A2420" s="2">
        <v>3.52</v>
      </c>
    </row>
    <row r="2421" spans="1:1">
      <c r="A2421" s="2">
        <v>3.75</v>
      </c>
    </row>
    <row r="2422" spans="1:1">
      <c r="A2422" s="2">
        <v>3.56</v>
      </c>
    </row>
    <row r="2423" spans="1:1">
      <c r="A2423" s="2">
        <v>3.78</v>
      </c>
    </row>
    <row r="2424" spans="1:1">
      <c r="A2424" s="2">
        <v>3.52</v>
      </c>
    </row>
    <row r="2425" spans="1:1">
      <c r="A2425" s="2">
        <v>3.52</v>
      </c>
    </row>
    <row r="2426" spans="1:1">
      <c r="A2426" s="2">
        <v>3.51</v>
      </c>
    </row>
    <row r="2427" spans="1:1">
      <c r="A2427" s="2">
        <v>3.52</v>
      </c>
    </row>
    <row r="2428" spans="1:1">
      <c r="A2428" s="2">
        <v>3.52</v>
      </c>
    </row>
    <row r="2429" spans="1:1">
      <c r="A2429" s="2">
        <v>3.51</v>
      </c>
    </row>
    <row r="2430" spans="1:1">
      <c r="A2430" s="2">
        <v>3.53</v>
      </c>
    </row>
    <row r="2431" spans="1:1">
      <c r="A2431" s="2">
        <v>3.6</v>
      </c>
    </row>
    <row r="2432" spans="1:1">
      <c r="A2432" s="2">
        <v>3.55</v>
      </c>
    </row>
    <row r="2433" spans="1:1">
      <c r="A2433" s="2">
        <v>3.52</v>
      </c>
    </row>
    <row r="2434" spans="1:1">
      <c r="A2434" s="2">
        <v>3.51</v>
      </c>
    </row>
    <row r="2435" spans="1:1">
      <c r="A2435" s="2">
        <v>3.7</v>
      </c>
    </row>
    <row r="2436" spans="1:1">
      <c r="A2436" s="2">
        <v>3.52</v>
      </c>
    </row>
    <row r="2437" spans="1:1">
      <c r="A2437" s="2">
        <v>3.52</v>
      </c>
    </row>
    <row r="2438" spans="1:1">
      <c r="A2438" s="2">
        <v>3.52</v>
      </c>
    </row>
    <row r="2439" spans="1:1">
      <c r="A2439" s="2">
        <v>3.52</v>
      </c>
    </row>
    <row r="2440" spans="1:1">
      <c r="A2440" s="2">
        <v>3.6</v>
      </c>
    </row>
    <row r="2441" spans="1:1">
      <c r="A2441" s="2">
        <v>3.52</v>
      </c>
    </row>
    <row r="2442" spans="1:1">
      <c r="A2442" s="2">
        <v>3.61</v>
      </c>
    </row>
    <row r="2443" spans="1:1">
      <c r="A2443" s="2">
        <v>3.78</v>
      </c>
    </row>
    <row r="2444" spans="1:1">
      <c r="A2444" s="2">
        <v>3.52</v>
      </c>
    </row>
    <row r="2445" spans="1:1">
      <c r="A2445" s="2">
        <v>3.62</v>
      </c>
    </row>
    <row r="2446" spans="1:1">
      <c r="A2446" s="2">
        <v>3.49</v>
      </c>
    </row>
    <row r="2447" spans="1:1">
      <c r="A2447" s="2">
        <v>3.52</v>
      </c>
    </row>
    <row r="2448" spans="1:1">
      <c r="A2448" s="2">
        <v>3.52</v>
      </c>
    </row>
    <row r="2449" spans="1:1">
      <c r="A2449" s="2">
        <v>3.78</v>
      </c>
    </row>
    <row r="2450" spans="1:1">
      <c r="A2450" s="2">
        <v>3.52</v>
      </c>
    </row>
    <row r="2451" spans="1:1">
      <c r="A2451" s="2">
        <v>3.74</v>
      </c>
    </row>
    <row r="2452" spans="1:1">
      <c r="A2452" s="2">
        <v>3.52</v>
      </c>
    </row>
    <row r="2453" spans="1:1">
      <c r="A2453" s="2">
        <v>3.53</v>
      </c>
    </row>
    <row r="2454" spans="1:1">
      <c r="A2454" s="2">
        <v>3.6</v>
      </c>
    </row>
    <row r="2455" spans="1:1">
      <c r="A2455" s="2">
        <v>3.52</v>
      </c>
    </row>
    <row r="2456" spans="1:1">
      <c r="A2456" s="2">
        <v>3.52</v>
      </c>
    </row>
    <row r="2457" spans="1:1">
      <c r="A2457" s="2">
        <v>3.52</v>
      </c>
    </row>
    <row r="2458" spans="1:1">
      <c r="A2458" s="2">
        <v>3.66</v>
      </c>
    </row>
    <row r="2459" spans="1:1">
      <c r="A2459" s="2">
        <v>3.67</v>
      </c>
    </row>
    <row r="2460" spans="1:1">
      <c r="A2460" s="2">
        <v>3.59</v>
      </c>
    </row>
    <row r="2461" spans="1:1">
      <c r="A2461" s="2">
        <v>3.52</v>
      </c>
    </row>
    <row r="2462" spans="1:1">
      <c r="A2462" s="2">
        <v>3.45</v>
      </c>
    </row>
    <row r="2463" spans="1:1">
      <c r="A2463" s="2">
        <v>3.76</v>
      </c>
    </row>
    <row r="2464" spans="1:1">
      <c r="A2464" s="2">
        <v>3.48</v>
      </c>
    </row>
    <row r="2465" spans="1:1">
      <c r="A2465" s="2">
        <v>3.51</v>
      </c>
    </row>
    <row r="2466" spans="1:1">
      <c r="A2466" s="2">
        <v>3.72</v>
      </c>
    </row>
    <row r="2467" spans="1:1">
      <c r="A2467" s="2">
        <v>3.57</v>
      </c>
    </row>
    <row r="2468" spans="1:1">
      <c r="A2468" s="2">
        <v>3.78</v>
      </c>
    </row>
    <row r="2469" spans="1:1">
      <c r="A2469" s="2">
        <v>3.78</v>
      </c>
    </row>
    <row r="2470" spans="1:1">
      <c r="A2470" s="2">
        <v>3.67</v>
      </c>
    </row>
    <row r="2471" spans="1:1">
      <c r="A2471" s="2">
        <v>3.56</v>
      </c>
    </row>
    <row r="2472" spans="1:1">
      <c r="A2472" s="2">
        <v>3.52</v>
      </c>
    </row>
    <row r="2473" spans="1:1">
      <c r="A2473" s="2">
        <v>3.6</v>
      </c>
    </row>
    <row r="2474" spans="1:1">
      <c r="A2474" s="2">
        <v>3.52</v>
      </c>
    </row>
    <row r="2475" spans="1:1">
      <c r="A2475" s="2">
        <v>3.52</v>
      </c>
    </row>
    <row r="2476" spans="1:1">
      <c r="A2476" s="2">
        <v>3.67</v>
      </c>
    </row>
    <row r="2477" spans="1:1">
      <c r="A2477" s="2">
        <v>3.52</v>
      </c>
    </row>
    <row r="2478" spans="1:1">
      <c r="A2478" s="2">
        <v>3.66</v>
      </c>
    </row>
    <row r="2479" spans="1:1">
      <c r="A2479" s="2">
        <v>3.49</v>
      </c>
    </row>
    <row r="2480" spans="1:1">
      <c r="A2480" s="2">
        <v>3.82</v>
      </c>
    </row>
    <row r="2481" spans="1:1">
      <c r="A2481" s="2">
        <v>3.52</v>
      </c>
    </row>
    <row r="2482" spans="1:1">
      <c r="A2482" s="2">
        <v>3.63</v>
      </c>
    </row>
    <row r="2483" spans="1:1">
      <c r="A2483" s="2">
        <v>3.69</v>
      </c>
    </row>
    <row r="2484" spans="1:1">
      <c r="A2484" s="2">
        <v>3.44</v>
      </c>
    </row>
    <row r="2485" spans="1:1">
      <c r="A2485" s="2">
        <v>3.76</v>
      </c>
    </row>
    <row r="2486" spans="1:1">
      <c r="A2486" s="2">
        <v>3.52</v>
      </c>
    </row>
    <row r="2487" spans="1:1">
      <c r="A2487" s="2">
        <v>3.73</v>
      </c>
    </row>
    <row r="2488" spans="1:1">
      <c r="A2488" s="2">
        <v>3.52</v>
      </c>
    </row>
    <row r="2489" spans="1:1">
      <c r="A2489" s="2">
        <v>3.64</v>
      </c>
    </row>
    <row r="2490" spans="1:1">
      <c r="A2490" s="2">
        <v>3.54</v>
      </c>
    </row>
    <row r="2491" spans="1:1">
      <c r="A2491" s="2">
        <v>3.52</v>
      </c>
    </row>
    <row r="2492" spans="1:1">
      <c r="A2492" s="2">
        <v>3.74</v>
      </c>
    </row>
    <row r="2493" spans="1:1">
      <c r="A2493" s="2">
        <v>3.52</v>
      </c>
    </row>
    <row r="2494" spans="1:1">
      <c r="A2494" s="2">
        <v>3.57</v>
      </c>
    </row>
    <row r="2495" spans="1:1">
      <c r="A2495" s="2">
        <v>3.78</v>
      </c>
    </row>
    <row r="2496" spans="1:1">
      <c r="A2496" s="2">
        <v>3.56</v>
      </c>
    </row>
    <row r="2497" spans="1:1">
      <c r="A2497" s="2">
        <v>3.68</v>
      </c>
    </row>
    <row r="2498" spans="1:1">
      <c r="A2498" s="2">
        <v>3.52</v>
      </c>
    </row>
    <row r="2499" spans="1:1">
      <c r="A2499" s="2">
        <v>3.46</v>
      </c>
    </row>
    <row r="2500" spans="1:1">
      <c r="A2500" s="2">
        <v>3.52</v>
      </c>
    </row>
    <row r="2501" spans="1:1">
      <c r="A2501" s="2">
        <v>3.78</v>
      </c>
    </row>
    <row r="2502" spans="1:1">
      <c r="A2502" s="2">
        <v>3.52</v>
      </c>
    </row>
    <row r="2503" spans="1:1">
      <c r="A2503" s="2">
        <v>3.52</v>
      </c>
    </row>
    <row r="2504" spans="1:1">
      <c r="A2504" s="2">
        <v>3.52</v>
      </c>
    </row>
    <row r="2505" spans="1:1">
      <c r="A2505" s="2">
        <v>3.52</v>
      </c>
    </row>
    <row r="2506" spans="1:1">
      <c r="A2506" s="2">
        <v>3.52</v>
      </c>
    </row>
    <row r="2507" spans="1:1">
      <c r="A2507" s="2">
        <v>3.52</v>
      </c>
    </row>
    <row r="2508" spans="1:1">
      <c r="A2508" s="2">
        <v>3.47</v>
      </c>
    </row>
    <row r="2509" spans="1:1">
      <c r="A2509" s="2">
        <v>3.78</v>
      </c>
    </row>
    <row r="2510" spans="1:1">
      <c r="A2510" s="2">
        <v>3.78</v>
      </c>
    </row>
    <row r="2511" spans="1:1">
      <c r="A2511" s="2">
        <v>3.67</v>
      </c>
    </row>
    <row r="2512" spans="1:1">
      <c r="A2512" s="2">
        <v>3.41</v>
      </c>
    </row>
    <row r="2513" spans="1:1">
      <c r="A2513" s="2">
        <v>3.78</v>
      </c>
    </row>
    <row r="2514" spans="1:1">
      <c r="A2514" s="2">
        <v>3.64</v>
      </c>
    </row>
    <row r="2515" spans="1:1">
      <c r="A2515" s="2">
        <v>3.61</v>
      </c>
    </row>
    <row r="2516" spans="1:1">
      <c r="A2516" s="2">
        <v>3.52</v>
      </c>
    </row>
    <row r="2517" spans="1:1">
      <c r="A2517" s="2">
        <v>3.52</v>
      </c>
    </row>
    <row r="2518" spans="1:1">
      <c r="A2518" s="2">
        <v>3.52</v>
      </c>
    </row>
    <row r="2519" spans="1:1">
      <c r="A2519" s="2">
        <v>3.66</v>
      </c>
    </row>
    <row r="2520" spans="1:1">
      <c r="A2520" s="2">
        <v>3.64</v>
      </c>
    </row>
    <row r="2521" spans="1:1">
      <c r="A2521" s="2">
        <v>3.78</v>
      </c>
    </row>
    <row r="2522" spans="1:1">
      <c r="A2522" s="2">
        <v>3.46</v>
      </c>
    </row>
    <row r="2523" spans="1:1">
      <c r="A2523" s="2">
        <v>3.52</v>
      </c>
    </row>
    <row r="2524" spans="1:1">
      <c r="A2524" s="2">
        <v>3.56</v>
      </c>
    </row>
    <row r="2525" spans="1:1">
      <c r="A2525" s="2">
        <v>3.52</v>
      </c>
    </row>
    <row r="2526" spans="1:1">
      <c r="A2526" s="2">
        <v>3.52</v>
      </c>
    </row>
    <row r="2527" spans="1:1">
      <c r="A2527" s="2">
        <v>3.52</v>
      </c>
    </row>
    <row r="2528" spans="1:1">
      <c r="A2528" s="2">
        <v>3.41</v>
      </c>
    </row>
    <row r="2529" spans="1:1">
      <c r="A2529" s="2">
        <v>3.52</v>
      </c>
    </row>
    <row r="2530" spans="1:1">
      <c r="A2530" s="2">
        <v>3.45</v>
      </c>
    </row>
    <row r="2531" spans="1:1">
      <c r="A2531" s="2">
        <v>3.6</v>
      </c>
    </row>
    <row r="2532" spans="1:1">
      <c r="A2532" s="2">
        <v>3.52</v>
      </c>
    </row>
    <row r="2533" spans="1:1">
      <c r="A2533" s="2">
        <v>3.79</v>
      </c>
    </row>
    <row r="2534" spans="1:1">
      <c r="A2534" s="2">
        <v>3.78</v>
      </c>
    </row>
    <row r="2535" spans="1:1">
      <c r="A2535" s="2">
        <v>3.74</v>
      </c>
    </row>
    <row r="2536" spans="1:1">
      <c r="A2536" s="2">
        <v>3.52</v>
      </c>
    </row>
    <row r="2537" spans="1:1">
      <c r="A2537" s="2">
        <v>3.52</v>
      </c>
    </row>
    <row r="2538" spans="1:1">
      <c r="A2538" s="2">
        <v>3.78</v>
      </c>
    </row>
    <row r="2539" spans="1:1">
      <c r="A2539" s="2">
        <v>3.81</v>
      </c>
    </row>
    <row r="2540" spans="1:1">
      <c r="A2540" s="2">
        <v>3.5</v>
      </c>
    </row>
    <row r="2541" spans="1:1">
      <c r="A2541" s="2">
        <v>3.71</v>
      </c>
    </row>
    <row r="2542" spans="1:1">
      <c r="A2542" s="2">
        <v>3.65</v>
      </c>
    </row>
    <row r="2543" spans="1:1">
      <c r="A2543" s="2">
        <v>3.73</v>
      </c>
    </row>
    <row r="2544" spans="1:1">
      <c r="A2544" s="2">
        <v>3.56</v>
      </c>
    </row>
    <row r="2545" spans="1:1">
      <c r="A2545" s="2">
        <v>3.61</v>
      </c>
    </row>
    <row r="2546" spans="1:1">
      <c r="A2546" s="2">
        <v>3.52</v>
      </c>
    </row>
    <row r="2547" spans="1:1">
      <c r="A2547" s="2">
        <v>3.46</v>
      </c>
    </row>
    <row r="2548" spans="1:1">
      <c r="A2548" s="2">
        <v>3.52</v>
      </c>
    </row>
    <row r="2549" spans="1:1">
      <c r="A2549" s="2">
        <v>3.45</v>
      </c>
    </row>
    <row r="2550" spans="1:1">
      <c r="A2550" s="2">
        <v>3.52</v>
      </c>
    </row>
    <row r="2551" spans="1:1">
      <c r="A2551" s="2">
        <v>3.59</v>
      </c>
    </row>
    <row r="2552" spans="1:1">
      <c r="A2552" s="2">
        <v>3.52</v>
      </c>
    </row>
    <row r="2553" spans="1:1">
      <c r="A2553" s="2">
        <v>3.79</v>
      </c>
    </row>
    <row r="2554" spans="1:1">
      <c r="A2554" s="2">
        <v>3.52</v>
      </c>
    </row>
    <row r="2555" spans="1:1">
      <c r="A2555" s="2">
        <v>3.46</v>
      </c>
    </row>
    <row r="2556" spans="1:1">
      <c r="A2556" s="2">
        <v>3.52</v>
      </c>
    </row>
    <row r="2557" spans="1:1">
      <c r="A2557" s="2">
        <v>3.55</v>
      </c>
    </row>
    <row r="2558" spans="1:1">
      <c r="A2558" s="2">
        <v>3.52</v>
      </c>
    </row>
    <row r="2559" spans="1:1">
      <c r="A2559" s="2">
        <v>3.52</v>
      </c>
    </row>
    <row r="2560" spans="1:1">
      <c r="A2560" s="2">
        <v>3.52</v>
      </c>
    </row>
    <row r="2561" spans="1:1">
      <c r="A2561" s="2">
        <v>3.57</v>
      </c>
    </row>
    <row r="2562" spans="1:1">
      <c r="A2562" s="2">
        <v>3.52</v>
      </c>
    </row>
    <row r="2563" spans="1:1">
      <c r="A2563" s="2">
        <v>3.52</v>
      </c>
    </row>
    <row r="2564" spans="1:1">
      <c r="A2564" s="2">
        <v>3.78</v>
      </c>
    </row>
    <row r="2565" spans="1:1">
      <c r="A2565" s="2">
        <v>3.59</v>
      </c>
    </row>
    <row r="2566" spans="1:1">
      <c r="A2566" s="2">
        <v>3.52</v>
      </c>
    </row>
    <row r="2567" spans="1:1">
      <c r="A2567" s="2">
        <v>3.44</v>
      </c>
    </row>
    <row r="2568" spans="1:1">
      <c r="A2568" s="2">
        <v>3.42</v>
      </c>
    </row>
    <row r="2569" spans="1:1">
      <c r="A2569" s="2">
        <v>3.74</v>
      </c>
    </row>
    <row r="2570" spans="1:1">
      <c r="A2570" s="2">
        <v>3.52</v>
      </c>
    </row>
    <row r="2571" spans="1:1">
      <c r="A2571" s="2">
        <v>3.52</v>
      </c>
    </row>
    <row r="2572" spans="1:1">
      <c r="A2572" s="2">
        <v>3.52</v>
      </c>
    </row>
    <row r="2573" spans="1:1">
      <c r="A2573" s="2">
        <v>3.48</v>
      </c>
    </row>
    <row r="2574" spans="1:1">
      <c r="A2574" s="2">
        <v>3.52</v>
      </c>
    </row>
    <row r="2575" spans="1:1">
      <c r="A2575" s="2">
        <v>3.52</v>
      </c>
    </row>
    <row r="2576" spans="1:1">
      <c r="A2576" s="2">
        <v>3.52</v>
      </c>
    </row>
    <row r="2577" spans="1:1">
      <c r="A2577" s="2">
        <v>3.52</v>
      </c>
    </row>
    <row r="2578" spans="1:1">
      <c r="A2578" s="2">
        <v>3.63</v>
      </c>
    </row>
    <row r="2579" spans="1:1">
      <c r="A2579" s="2">
        <v>3.52</v>
      </c>
    </row>
    <row r="2580" spans="1:1">
      <c r="A2580" s="2">
        <v>3.63</v>
      </c>
    </row>
    <row r="2581" spans="1:1">
      <c r="A2581" s="2">
        <v>3.48</v>
      </c>
    </row>
    <row r="2582" spans="1:1">
      <c r="A2582" s="2">
        <v>3.52</v>
      </c>
    </row>
    <row r="2583" spans="1:1">
      <c r="A2583" s="2">
        <v>3.48</v>
      </c>
    </row>
    <row r="2584" spans="1:1">
      <c r="A2584" s="2">
        <v>3.52</v>
      </c>
    </row>
    <row r="2585" spans="1:1">
      <c r="A2585" s="2">
        <v>3.51</v>
      </c>
    </row>
    <row r="2586" spans="1:1">
      <c r="A2586" s="2">
        <v>3.42</v>
      </c>
    </row>
    <row r="2587" spans="1:1">
      <c r="A2587" s="2">
        <v>3.52</v>
      </c>
    </row>
    <row r="2588" spans="1:1">
      <c r="A2588" s="2">
        <v>3.73</v>
      </c>
    </row>
    <row r="2589" spans="1:1">
      <c r="A2589" s="2">
        <v>3.52</v>
      </c>
    </row>
    <row r="2590" spans="1:1">
      <c r="A2590" s="2">
        <v>3.61</v>
      </c>
    </row>
    <row r="2591" spans="1:1">
      <c r="A2591" s="2">
        <v>3.53</v>
      </c>
    </row>
    <row r="2592" spans="1:1">
      <c r="A2592" s="2">
        <v>3.52</v>
      </c>
    </row>
    <row r="2593" spans="1:1">
      <c r="A2593" s="2">
        <v>3.52</v>
      </c>
    </row>
    <row r="2594" spans="1:1">
      <c r="A2594" s="2">
        <v>3.49</v>
      </c>
    </row>
    <row r="2595" spans="1:1">
      <c r="A2595" s="2">
        <v>3.56</v>
      </c>
    </row>
    <row r="2596" spans="1:1">
      <c r="A2596" s="2">
        <v>3.67</v>
      </c>
    </row>
    <row r="2597" spans="1:1">
      <c r="A2597" s="2">
        <v>3.48</v>
      </c>
    </row>
    <row r="2598" spans="1:1">
      <c r="A2598" s="2">
        <v>3.52</v>
      </c>
    </row>
    <row r="2599" spans="1:1">
      <c r="A2599" s="2">
        <v>3.66</v>
      </c>
    </row>
    <row r="2600" spans="1:1">
      <c r="A2600" s="2">
        <v>3.51</v>
      </c>
    </row>
    <row r="2601" spans="1:1">
      <c r="A2601" s="2">
        <v>3.52</v>
      </c>
    </row>
    <row r="2602" spans="1:1">
      <c r="A2602" s="2">
        <v>3.52</v>
      </c>
    </row>
    <row r="2603" spans="1:1">
      <c r="A2603" s="2">
        <v>3.52</v>
      </c>
    </row>
    <row r="2604" spans="1:1">
      <c r="A2604" s="2">
        <v>3.52</v>
      </c>
    </row>
    <row r="2605" spans="1:1">
      <c r="A2605" s="2">
        <v>3.52</v>
      </c>
    </row>
    <row r="2606" spans="1:1">
      <c r="A2606" s="2">
        <v>3.52</v>
      </c>
    </row>
    <row r="2607" spans="1:1">
      <c r="A2607" s="2">
        <v>3.52</v>
      </c>
    </row>
    <row r="2608" spans="1:1">
      <c r="A2608" s="2">
        <v>3.48</v>
      </c>
    </row>
    <row r="2609" spans="1:1">
      <c r="A2609" s="2">
        <v>3.51</v>
      </c>
    </row>
    <row r="2610" spans="1:1">
      <c r="A2610" s="2">
        <v>3.52</v>
      </c>
    </row>
    <row r="2611" spans="1:1">
      <c r="A2611" s="2">
        <v>3.58</v>
      </c>
    </row>
    <row r="2612" spans="1:1">
      <c r="A2612" s="2">
        <v>3.52</v>
      </c>
    </row>
    <row r="2613" spans="1:1">
      <c r="A2613" s="2">
        <v>3.69</v>
      </c>
    </row>
    <row r="2614" spans="1:1">
      <c r="A2614" s="2">
        <v>3.43</v>
      </c>
    </row>
    <row r="2615" spans="1:1">
      <c r="A2615" s="2">
        <v>3.78</v>
      </c>
    </row>
    <row r="2616" spans="1:1">
      <c r="A2616" s="2">
        <v>3.51</v>
      </c>
    </row>
    <row r="2617" spans="1:1">
      <c r="A2617" s="2">
        <v>3.52</v>
      </c>
    </row>
    <row r="2618" spans="1:1">
      <c r="A2618" s="2">
        <v>3.65</v>
      </c>
    </row>
    <row r="2619" spans="1:1">
      <c r="A2619" s="2">
        <v>3.54</v>
      </c>
    </row>
    <row r="2620" spans="1:1">
      <c r="A2620" s="2">
        <v>3.65</v>
      </c>
    </row>
    <row r="2621" spans="1:1">
      <c r="A2621" s="2">
        <v>3.55</v>
      </c>
    </row>
    <row r="2622" spans="1:1">
      <c r="A2622" s="2">
        <v>3.46</v>
      </c>
    </row>
    <row r="2623" spans="1:1">
      <c r="A2623" s="2">
        <v>3.68</v>
      </c>
    </row>
    <row r="2624" spans="1:1">
      <c r="A2624" s="2">
        <v>3.52</v>
      </c>
    </row>
    <row r="2625" spans="1:1">
      <c r="A2625" s="2">
        <v>3.52</v>
      </c>
    </row>
    <row r="2626" spans="1:1">
      <c r="A2626" s="2">
        <v>3.5</v>
      </c>
    </row>
    <row r="2627" spans="1:1">
      <c r="A2627" s="2">
        <v>3.6</v>
      </c>
    </row>
    <row r="2628" spans="1:1">
      <c r="A2628" s="2">
        <v>3.52</v>
      </c>
    </row>
    <row r="2629" spans="1:1">
      <c r="A2629" s="2">
        <v>3.74</v>
      </c>
    </row>
    <row r="2630" spans="1:1">
      <c r="A2630" s="2">
        <v>3.52</v>
      </c>
    </row>
    <row r="2631" spans="1:1">
      <c r="A2631" s="2">
        <v>3.44</v>
      </c>
    </row>
    <row r="2632" spans="1:1">
      <c r="A2632" s="2">
        <v>3.52</v>
      </c>
    </row>
    <row r="2633" spans="1:1">
      <c r="A2633" s="2">
        <v>3.48</v>
      </c>
    </row>
    <row r="2634" spans="1:1">
      <c r="A2634" s="2">
        <v>3.7</v>
      </c>
    </row>
    <row r="2635" spans="1:1">
      <c r="A2635" s="2">
        <v>3.78</v>
      </c>
    </row>
    <row r="2636" spans="1:1">
      <c r="A2636" s="2">
        <v>3.76</v>
      </c>
    </row>
    <row r="2637" spans="1:1">
      <c r="A2637" s="2">
        <v>3.73</v>
      </c>
    </row>
    <row r="2638" spans="1:1">
      <c r="A2638" s="2">
        <v>3.53</v>
      </c>
    </row>
    <row r="2639" spans="1:1">
      <c r="A2639" s="2">
        <v>3.78</v>
      </c>
    </row>
    <row r="2640" spans="1:1">
      <c r="A2640" s="2">
        <v>3.52</v>
      </c>
    </row>
    <row r="2641" spans="1:1">
      <c r="A2641" s="2">
        <v>3.44</v>
      </c>
    </row>
    <row r="2642" spans="1:1">
      <c r="A2642" s="2">
        <v>3.51</v>
      </c>
    </row>
    <row r="2643" spans="1:1">
      <c r="A2643" s="2">
        <v>3.73</v>
      </c>
    </row>
    <row r="2644" spans="1:1">
      <c r="A2644" s="2">
        <v>3.5</v>
      </c>
    </row>
    <row r="2645" spans="1:1">
      <c r="A2645" s="2">
        <v>3.52</v>
      </c>
    </row>
    <row r="2646" spans="1:1">
      <c r="A2646" s="2">
        <v>3.67</v>
      </c>
    </row>
    <row r="2647" spans="1:1">
      <c r="A2647" s="2">
        <v>3.41</v>
      </c>
    </row>
    <row r="2648" spans="1:1">
      <c r="A2648" s="2">
        <v>3.52</v>
      </c>
    </row>
    <row r="2649" spans="1:1">
      <c r="A2649" s="2">
        <v>3.52</v>
      </c>
    </row>
    <row r="2650" spans="1:1">
      <c r="A2650" s="2">
        <v>3.65</v>
      </c>
    </row>
    <row r="2651" spans="1:1">
      <c r="A2651" s="2">
        <v>3.52</v>
      </c>
    </row>
    <row r="2652" spans="1:1">
      <c r="A2652" s="2">
        <v>3.52</v>
      </c>
    </row>
    <row r="2653" spans="1:1">
      <c r="A2653" s="2">
        <v>3.52</v>
      </c>
    </row>
    <row r="2654" spans="1:1">
      <c r="A2654" s="2">
        <v>3.51</v>
      </c>
    </row>
    <row r="2655" spans="1:1">
      <c r="A2655" s="2">
        <v>3.52</v>
      </c>
    </row>
    <row r="2656" spans="1:1">
      <c r="A2656" s="2">
        <v>3.78</v>
      </c>
    </row>
    <row r="2657" spans="1:1">
      <c r="A2657" s="2">
        <v>3.76</v>
      </c>
    </row>
    <row r="2658" spans="1:1">
      <c r="A2658" s="2">
        <v>3.78</v>
      </c>
    </row>
    <row r="2659" spans="1:1">
      <c r="A2659" s="2">
        <v>3.52</v>
      </c>
    </row>
    <row r="2660" spans="1:1">
      <c r="A2660" s="2">
        <v>3.78</v>
      </c>
    </row>
    <row r="2661" spans="1:1">
      <c r="A2661" s="2">
        <v>3.51</v>
      </c>
    </row>
    <row r="2662" spans="1:1">
      <c r="A2662" s="2">
        <v>3.72</v>
      </c>
    </row>
    <row r="2663" spans="1:1">
      <c r="A2663" s="2">
        <v>3.68</v>
      </c>
    </row>
    <row r="2664" spans="1:1">
      <c r="A2664" s="2">
        <v>3.51</v>
      </c>
    </row>
    <row r="2665" spans="1:1">
      <c r="A2665" s="2">
        <v>3.72</v>
      </c>
    </row>
    <row r="2666" spans="1:1">
      <c r="A2666" s="2">
        <v>3.52</v>
      </c>
    </row>
    <row r="2667" spans="1:1">
      <c r="A2667" s="2">
        <v>3.57</v>
      </c>
    </row>
    <row r="2668" spans="1:1">
      <c r="A2668" s="2">
        <v>3.52</v>
      </c>
    </row>
    <row r="2669" spans="1:1">
      <c r="A2669" s="2">
        <v>3.58</v>
      </c>
    </row>
    <row r="2670" spans="1:1">
      <c r="A2670" s="2">
        <v>3.46</v>
      </c>
    </row>
    <row r="2671" spans="1:1">
      <c r="A2671" s="2">
        <v>3.52</v>
      </c>
    </row>
    <row r="2672" spans="1:1">
      <c r="A2672" s="2">
        <v>3.67</v>
      </c>
    </row>
    <row r="2673" spans="1:1">
      <c r="A2673" s="2">
        <v>3.52</v>
      </c>
    </row>
    <row r="2674" spans="1:1">
      <c r="A2674" s="2">
        <v>3.45</v>
      </c>
    </row>
    <row r="2675" spans="1:1">
      <c r="A2675" s="2">
        <v>3.42</v>
      </c>
    </row>
    <row r="2676" spans="1:1">
      <c r="A2676" s="2">
        <v>3.49</v>
      </c>
    </row>
    <row r="2677" spans="1:1">
      <c r="A2677" s="2">
        <v>3.52</v>
      </c>
    </row>
    <row r="2678" spans="1:1">
      <c r="A2678" s="2">
        <v>3.52</v>
      </c>
    </row>
    <row r="2679" spans="1:1">
      <c r="A2679" s="2">
        <v>3.78</v>
      </c>
    </row>
    <row r="2680" spans="1:1">
      <c r="A2680" s="2">
        <v>3.52</v>
      </c>
    </row>
    <row r="2681" spans="1:1">
      <c r="A2681" s="2">
        <v>3.52</v>
      </c>
    </row>
    <row r="2682" spans="1:1">
      <c r="A2682" s="2">
        <v>3.46</v>
      </c>
    </row>
    <row r="2683" spans="1:1">
      <c r="A2683" s="2">
        <v>3.51</v>
      </c>
    </row>
    <row r="2684" spans="1:1">
      <c r="A2684" s="2">
        <v>3.52</v>
      </c>
    </row>
    <row r="2685" spans="1:1">
      <c r="A2685" s="2">
        <v>3.63</v>
      </c>
    </row>
    <row r="2686" spans="1:1">
      <c r="A2686" s="2">
        <v>3.51</v>
      </c>
    </row>
    <row r="2687" spans="1:1">
      <c r="A2687" s="2">
        <v>3.52</v>
      </c>
    </row>
    <row r="2688" spans="1:1">
      <c r="A2688" s="2">
        <v>3.61</v>
      </c>
    </row>
    <row r="2689" spans="1:1">
      <c r="A2689" s="2">
        <v>3.52</v>
      </c>
    </row>
    <row r="2690" spans="1:1">
      <c r="A2690" s="2">
        <v>3.52</v>
      </c>
    </row>
    <row r="2691" spans="1:1">
      <c r="A2691" s="2">
        <v>3.64</v>
      </c>
    </row>
    <row r="2692" spans="1:1">
      <c r="A2692" s="2">
        <v>3.52</v>
      </c>
    </row>
    <row r="2693" spans="1:1">
      <c r="A2693" s="2">
        <v>3.52</v>
      </c>
    </row>
    <row r="2694" spans="1:1">
      <c r="A2694" s="2">
        <v>3.57</v>
      </c>
    </row>
    <row r="2695" spans="1:1">
      <c r="A2695" s="2">
        <v>3.62</v>
      </c>
    </row>
    <row r="2696" spans="1:1">
      <c r="A2696" s="2">
        <v>3.51</v>
      </c>
    </row>
    <row r="2697" spans="1:1">
      <c r="A2697" s="2">
        <v>3.71</v>
      </c>
    </row>
    <row r="2698" spans="1:1">
      <c r="A2698" s="2">
        <v>3.69</v>
      </c>
    </row>
    <row r="2699" spans="1:1">
      <c r="A2699" s="2">
        <v>3.68</v>
      </c>
    </row>
    <row r="2700" spans="1:1">
      <c r="A2700" s="2">
        <v>3.58</v>
      </c>
    </row>
    <row r="2701" spans="1:1">
      <c r="A2701" s="2">
        <v>3.52</v>
      </c>
    </row>
    <row r="2702" spans="1:1">
      <c r="A2702" s="2">
        <v>3.52</v>
      </c>
    </row>
    <row r="2703" spans="1:1">
      <c r="A2703" s="2">
        <v>3.52</v>
      </c>
    </row>
    <row r="2704" spans="1:1">
      <c r="A2704" s="2">
        <v>3.52</v>
      </c>
    </row>
    <row r="2705" spans="1:1">
      <c r="A2705" s="2">
        <v>3.63</v>
      </c>
    </row>
    <row r="2706" spans="1:1">
      <c r="A2706" s="2">
        <v>3.52</v>
      </c>
    </row>
    <row r="2707" spans="1:1">
      <c r="A2707" s="2">
        <v>3.49</v>
      </c>
    </row>
    <row r="2708" spans="1:1">
      <c r="A2708" s="2">
        <v>3.78</v>
      </c>
    </row>
    <row r="2709" spans="1:1">
      <c r="A2709" s="2">
        <v>3.69</v>
      </c>
    </row>
    <row r="2710" spans="1:1">
      <c r="A2710" s="2">
        <v>3.65</v>
      </c>
    </row>
    <row r="2711" spans="1:1">
      <c r="A2711" s="2">
        <v>3.63</v>
      </c>
    </row>
    <row r="2712" spans="1:1">
      <c r="A2712" s="2">
        <v>3.52</v>
      </c>
    </row>
    <row r="2713" spans="1:1">
      <c r="A2713" s="2">
        <v>3.52</v>
      </c>
    </row>
    <row r="2714" spans="1:1">
      <c r="A2714" s="2">
        <v>3.52</v>
      </c>
    </row>
    <row r="2715" spans="1:1">
      <c r="A2715" s="2">
        <v>3.52</v>
      </c>
    </row>
    <row r="2716" spans="1:1">
      <c r="A2716" s="2">
        <v>3.56</v>
      </c>
    </row>
    <row r="2717" spans="1:1">
      <c r="A2717" s="2">
        <v>3.52</v>
      </c>
    </row>
    <row r="2718" spans="1:1">
      <c r="A2718" s="2">
        <v>3.52</v>
      </c>
    </row>
    <row r="2719" spans="1:1">
      <c r="A2719" s="2">
        <v>3.78</v>
      </c>
    </row>
    <row r="2720" spans="1:1">
      <c r="A2720" s="2">
        <v>3.52</v>
      </c>
    </row>
    <row r="2721" spans="1:1">
      <c r="A2721" s="2">
        <v>3.66</v>
      </c>
    </row>
    <row r="2722" spans="1:1">
      <c r="A2722" s="2">
        <v>3.52</v>
      </c>
    </row>
    <row r="2723" spans="1:1">
      <c r="A2723" s="2">
        <v>3.59</v>
      </c>
    </row>
    <row r="2724" spans="1:1">
      <c r="A2724" s="2">
        <v>3.5</v>
      </c>
    </row>
    <row r="2725" spans="1:1">
      <c r="A2725" s="2">
        <v>3.52</v>
      </c>
    </row>
    <row r="2726" spans="1:1">
      <c r="A2726" s="2">
        <v>3.51</v>
      </c>
    </row>
    <row r="2727" spans="1:1">
      <c r="A2727" s="2">
        <v>3.57</v>
      </c>
    </row>
    <row r="2728" spans="1:1">
      <c r="A2728" s="2">
        <v>3.54</v>
      </c>
    </row>
    <row r="2729" spans="1:1">
      <c r="A2729" s="2">
        <v>3.52</v>
      </c>
    </row>
    <row r="2730" spans="1:1">
      <c r="A2730" s="2">
        <v>3.52</v>
      </c>
    </row>
    <row r="2731" spans="1:1">
      <c r="A2731" s="2">
        <v>3.52</v>
      </c>
    </row>
    <row r="2732" spans="1:1">
      <c r="A2732" s="2">
        <v>3.52</v>
      </c>
    </row>
    <row r="2733" spans="1:1">
      <c r="A2733" s="2">
        <v>3.52</v>
      </c>
    </row>
    <row r="2734" spans="1:1">
      <c r="A2734" s="2">
        <v>3.64</v>
      </c>
    </row>
    <row r="2735" spans="1:1">
      <c r="A2735" s="2">
        <v>3.52</v>
      </c>
    </row>
    <row r="2736" spans="1:1">
      <c r="A2736" s="2">
        <v>3.69</v>
      </c>
    </row>
    <row r="2737" spans="1:1">
      <c r="A2737" s="2">
        <v>3.66</v>
      </c>
    </row>
    <row r="2738" spans="1:1">
      <c r="A2738" s="2">
        <v>3.41</v>
      </c>
    </row>
    <row r="2739" spans="1:1">
      <c r="A2739" s="2">
        <v>3.52</v>
      </c>
    </row>
    <row r="2740" spans="1:1">
      <c r="A2740" s="2">
        <v>3.52</v>
      </c>
    </row>
    <row r="2741" spans="1:1">
      <c r="A2741" s="2">
        <v>3.52</v>
      </c>
    </row>
    <row r="2742" spans="1:1">
      <c r="A2742" s="2">
        <v>3.52</v>
      </c>
    </row>
    <row r="2743" spans="1:1">
      <c r="A2743" s="2">
        <v>3.41</v>
      </c>
    </row>
    <row r="2744" spans="1:1">
      <c r="A2744" s="2">
        <v>3.68</v>
      </c>
    </row>
    <row r="2745" spans="1:1">
      <c r="A2745" s="2">
        <v>3.62</v>
      </c>
    </row>
    <row r="2746" spans="1:1">
      <c r="A2746" s="2">
        <v>3.41</v>
      </c>
    </row>
    <row r="2747" spans="1:1">
      <c r="A2747" s="2">
        <v>3.56</v>
      </c>
    </row>
    <row r="2748" spans="1:1">
      <c r="A2748" s="2">
        <v>3.52</v>
      </c>
    </row>
    <row r="2749" spans="1:1">
      <c r="A2749" s="2">
        <v>3.7</v>
      </c>
    </row>
    <row r="2750" spans="1:1">
      <c r="A2750" s="2">
        <v>3.68</v>
      </c>
    </row>
    <row r="2751" spans="1:1">
      <c r="A2751" s="2">
        <v>3.47</v>
      </c>
    </row>
    <row r="2752" spans="1:1">
      <c r="A2752" s="2">
        <v>3.73</v>
      </c>
    </row>
    <row r="2753" spans="1:1">
      <c r="A2753" s="2">
        <v>3.74</v>
      </c>
    </row>
    <row r="2754" spans="1:1">
      <c r="A2754" s="2">
        <v>3.52</v>
      </c>
    </row>
    <row r="2755" spans="1:1">
      <c r="A2755" s="2">
        <v>3.65</v>
      </c>
    </row>
    <row r="2756" spans="1:1">
      <c r="A2756" s="2">
        <v>3.52</v>
      </c>
    </row>
    <row r="2757" spans="1:1">
      <c r="A2757" s="2">
        <v>3.43</v>
      </c>
    </row>
    <row r="2758" spans="1:1">
      <c r="A2758" s="2">
        <v>3.47</v>
      </c>
    </row>
    <row r="2759" spans="1:1">
      <c r="A2759" s="2">
        <v>3.52</v>
      </c>
    </row>
    <row r="2760" spans="1:1">
      <c r="A2760" s="2">
        <v>3.52</v>
      </c>
    </row>
    <row r="2761" spans="1:1">
      <c r="A2761" s="2">
        <v>3.51</v>
      </c>
    </row>
    <row r="2762" spans="1:1">
      <c r="A2762" s="2">
        <v>3.52</v>
      </c>
    </row>
    <row r="2763" spans="1:1">
      <c r="A2763" s="2">
        <v>3.68</v>
      </c>
    </row>
    <row r="2764" spans="1:1">
      <c r="A2764" s="2">
        <v>3.6</v>
      </c>
    </row>
    <row r="2765" spans="1:1">
      <c r="A2765" s="2">
        <v>3.7</v>
      </c>
    </row>
    <row r="2766" spans="1:1">
      <c r="A2766" s="2">
        <v>3.52</v>
      </c>
    </row>
    <row r="2767" spans="1:1">
      <c r="A2767" s="2">
        <v>3.42</v>
      </c>
    </row>
    <row r="2768" spans="1:1">
      <c r="A2768" s="2">
        <v>3.72</v>
      </c>
    </row>
    <row r="2769" spans="1:1">
      <c r="A2769" s="2">
        <v>3.71</v>
      </c>
    </row>
    <row r="2770" spans="1:1">
      <c r="A2770" s="2">
        <v>3.78</v>
      </c>
    </row>
    <row r="2771" spans="1:1">
      <c r="A2771" s="2">
        <v>3.54</v>
      </c>
    </row>
    <row r="2772" spans="1:1">
      <c r="A2772" s="2">
        <v>3.75</v>
      </c>
    </row>
    <row r="2773" spans="1:1">
      <c r="A2773" s="2">
        <v>3.52</v>
      </c>
    </row>
    <row r="2774" spans="1:1">
      <c r="A2774" s="2">
        <v>3.52</v>
      </c>
    </row>
    <row r="2775" spans="1:1">
      <c r="A2775" s="2">
        <v>3.45</v>
      </c>
    </row>
    <row r="2776" spans="1:1">
      <c r="A2776" s="2">
        <v>3.52</v>
      </c>
    </row>
    <row r="2777" spans="1:1">
      <c r="A2777" s="2">
        <v>3.67</v>
      </c>
    </row>
    <row r="2778" spans="1:1">
      <c r="A2778" s="2">
        <v>3.72</v>
      </c>
    </row>
    <row r="2779" spans="1:1">
      <c r="A2779" s="2">
        <v>3.5</v>
      </c>
    </row>
    <row r="2780" spans="1:1">
      <c r="A2780" s="2">
        <v>3.71</v>
      </c>
    </row>
    <row r="2781" spans="1:1">
      <c r="A2781" s="2">
        <v>3.45</v>
      </c>
    </row>
    <row r="2782" spans="1:1">
      <c r="A2782" s="2">
        <v>3.78</v>
      </c>
    </row>
    <row r="2783" spans="1:1">
      <c r="A2783" s="2">
        <v>3.51</v>
      </c>
    </row>
    <row r="2784" spans="1:1">
      <c r="A2784" s="2">
        <v>3.78</v>
      </c>
    </row>
    <row r="2785" spans="1:1">
      <c r="A2785" s="2">
        <v>3.54</v>
      </c>
    </row>
    <row r="2786" spans="1:1">
      <c r="A2786" s="2">
        <v>3.77</v>
      </c>
    </row>
    <row r="2787" spans="1:1">
      <c r="A2787" s="2">
        <v>3.46</v>
      </c>
    </row>
    <row r="2788" spans="1:1">
      <c r="A2788" s="2">
        <v>3.52</v>
      </c>
    </row>
    <row r="2789" spans="1:1">
      <c r="A2789" s="2">
        <v>3.6</v>
      </c>
    </row>
    <row r="2790" spans="1:1">
      <c r="A2790" s="2">
        <v>3.51</v>
      </c>
    </row>
    <row r="2791" spans="1:1">
      <c r="A2791" s="2">
        <v>3.52</v>
      </c>
    </row>
    <row r="2792" spans="1:1">
      <c r="A2792" s="2">
        <v>3.8</v>
      </c>
    </row>
    <row r="2793" spans="1:1">
      <c r="A2793" s="2">
        <v>3.52</v>
      </c>
    </row>
    <row r="2794" spans="1:1">
      <c r="A2794" s="2">
        <v>3.54</v>
      </c>
    </row>
    <row r="2795" spans="1:1">
      <c r="A2795" s="2">
        <v>3.42</v>
      </c>
    </row>
    <row r="2796" spans="1:1">
      <c r="A2796" s="2">
        <v>3.52</v>
      </c>
    </row>
    <row r="2797" spans="1:1">
      <c r="A2797" s="2">
        <v>3.75</v>
      </c>
    </row>
    <row r="2798" spans="1:1">
      <c r="A2798" s="2">
        <v>3.52</v>
      </c>
    </row>
    <row r="2799" spans="1:1">
      <c r="A2799" s="2">
        <v>3.78</v>
      </c>
    </row>
    <row r="2800" spans="1:1">
      <c r="A2800" s="2">
        <v>3.41</v>
      </c>
    </row>
    <row r="2801" spans="1:1">
      <c r="A2801" s="2">
        <v>3.62</v>
      </c>
    </row>
    <row r="2802" spans="1:1">
      <c r="A2802" s="2">
        <v>3.52</v>
      </c>
    </row>
    <row r="2803" spans="1:1">
      <c r="A2803" s="2">
        <v>3.51</v>
      </c>
    </row>
    <row r="2804" spans="1:1">
      <c r="A2804" s="2">
        <v>3.52</v>
      </c>
    </row>
    <row r="2805" spans="1:1">
      <c r="A2805" s="2">
        <v>3.59</v>
      </c>
    </row>
    <row r="2806" spans="1:1">
      <c r="A2806" s="2">
        <v>3.52</v>
      </c>
    </row>
    <row r="2807" spans="1:1">
      <c r="A2807" s="2">
        <v>3.79</v>
      </c>
    </row>
    <row r="2808" spans="1:1">
      <c r="A2808" s="2">
        <v>3.52</v>
      </c>
    </row>
    <row r="2809" spans="1:1">
      <c r="A2809" s="2">
        <v>3.73</v>
      </c>
    </row>
    <row r="2810" spans="1:1">
      <c r="A2810" s="2">
        <v>3.52</v>
      </c>
    </row>
    <row r="2811" spans="1:1">
      <c r="A2811" s="2">
        <v>3.66</v>
      </c>
    </row>
    <row r="2812" spans="1:1">
      <c r="A2812" s="2">
        <v>3.67</v>
      </c>
    </row>
    <row r="2813" spans="1:1">
      <c r="A2813" s="2">
        <v>3.78</v>
      </c>
    </row>
    <row r="2814" spans="1:1">
      <c r="A2814" s="2">
        <v>3.78</v>
      </c>
    </row>
    <row r="2815" spans="1:1">
      <c r="A2815" s="2">
        <v>3.52</v>
      </c>
    </row>
    <row r="2816" spans="1:1">
      <c r="A2816" s="2">
        <v>3.67</v>
      </c>
    </row>
    <row r="2817" spans="1:1">
      <c r="A2817" s="2">
        <v>3.62</v>
      </c>
    </row>
    <row r="2818" spans="1:1">
      <c r="A2818" s="2">
        <v>3.72</v>
      </c>
    </row>
    <row r="2819" spans="1:1">
      <c r="A2819" s="2">
        <v>3.48</v>
      </c>
    </row>
    <row r="2820" spans="1:1">
      <c r="A2820" s="2">
        <v>3.45</v>
      </c>
    </row>
    <row r="2821" spans="1:1">
      <c r="A2821" s="2">
        <v>3.78</v>
      </c>
    </row>
    <row r="2822" spans="1:1">
      <c r="A2822" s="2">
        <v>3.52</v>
      </c>
    </row>
    <row r="2823" spans="1:1">
      <c r="A2823" s="2">
        <v>3.52</v>
      </c>
    </row>
    <row r="2824" spans="1:1">
      <c r="A2824" s="2">
        <v>3.52</v>
      </c>
    </row>
    <row r="2825" spans="1:1">
      <c r="A2825" s="2">
        <v>3.52</v>
      </c>
    </row>
    <row r="2826" spans="1:1">
      <c r="A2826" s="2">
        <v>3.73</v>
      </c>
    </row>
    <row r="2827" spans="1:1">
      <c r="A2827" s="2">
        <v>3.78</v>
      </c>
    </row>
    <row r="2828" spans="1:1">
      <c r="A2828" s="2">
        <v>3.63</v>
      </c>
    </row>
    <row r="2829" spans="1:1">
      <c r="A2829" s="2">
        <v>3.57</v>
      </c>
    </row>
    <row r="2830" spans="1:1">
      <c r="A2830" s="2">
        <v>3.58</v>
      </c>
    </row>
    <row r="2831" spans="1:1">
      <c r="A2831" s="2">
        <v>3.52</v>
      </c>
    </row>
    <row r="2832" spans="1:1">
      <c r="A2832" s="2">
        <v>3.7</v>
      </c>
    </row>
    <row r="2833" spans="1:1">
      <c r="A2833" s="2">
        <v>3.52</v>
      </c>
    </row>
    <row r="2834" spans="1:1">
      <c r="A2834" s="2">
        <v>3.78</v>
      </c>
    </row>
    <row r="2835" spans="1:1">
      <c r="A2835" s="2">
        <v>3.5</v>
      </c>
    </row>
    <row r="2836" spans="1:1">
      <c r="A2836" s="2">
        <v>3.62</v>
      </c>
    </row>
    <row r="2837" spans="1:1">
      <c r="A2837" s="2">
        <v>3.78</v>
      </c>
    </row>
    <row r="2838" spans="1:1">
      <c r="A2838" s="2">
        <v>3.52</v>
      </c>
    </row>
    <row r="2839" spans="1:1">
      <c r="A2839" s="2">
        <v>3.79</v>
      </c>
    </row>
    <row r="2840" spans="1:1">
      <c r="A2840" s="2">
        <v>3.52</v>
      </c>
    </row>
    <row r="2841" spans="1:1">
      <c r="A2841" s="2">
        <v>3.61</v>
      </c>
    </row>
    <row r="2842" spans="1:1">
      <c r="A2842" s="2">
        <v>3.52</v>
      </c>
    </row>
    <row r="2843" spans="1:1">
      <c r="A2843" s="2">
        <v>3.52</v>
      </c>
    </row>
    <row r="2844" spans="1:1">
      <c r="A2844" s="2">
        <v>3.69</v>
      </c>
    </row>
    <row r="2845" spans="1:1">
      <c r="A2845" s="2">
        <v>3.66</v>
      </c>
    </row>
    <row r="2846" spans="1:1">
      <c r="A2846" s="2">
        <v>3.51</v>
      </c>
    </row>
    <row r="2847" spans="1:1">
      <c r="A2847" s="2">
        <v>3.56</v>
      </c>
    </row>
    <row r="2848" spans="1:1">
      <c r="A2848" s="2">
        <v>3.51</v>
      </c>
    </row>
    <row r="2849" spans="1:1">
      <c r="A2849" s="2">
        <v>3.41</v>
      </c>
    </row>
    <row r="2850" spans="1:1">
      <c r="A2850" s="2">
        <v>3.54</v>
      </c>
    </row>
    <row r="2851" spans="1:1">
      <c r="A2851" s="2">
        <v>3.52</v>
      </c>
    </row>
    <row r="2852" spans="1:1">
      <c r="A2852" s="2">
        <v>3.54</v>
      </c>
    </row>
    <row r="2853" spans="1:1">
      <c r="A2853" s="2">
        <v>3.5</v>
      </c>
    </row>
    <row r="2854" spans="1:1">
      <c r="A2854" s="2">
        <v>3.7</v>
      </c>
    </row>
    <row r="2855" spans="1:1">
      <c r="A2855" s="2">
        <v>3.42</v>
      </c>
    </row>
    <row r="2856" spans="1:1">
      <c r="A2856" s="2">
        <v>3.74</v>
      </c>
    </row>
    <row r="2857" spans="1:1">
      <c r="A2857" s="2">
        <v>3.6</v>
      </c>
    </row>
    <row r="2858" spans="1:1">
      <c r="A2858" s="2">
        <v>3.52</v>
      </c>
    </row>
    <row r="2859" spans="1:1">
      <c r="A2859" s="2">
        <v>3.49</v>
      </c>
    </row>
    <row r="2860" spans="1:1">
      <c r="A2860" s="2">
        <v>3.52</v>
      </c>
    </row>
    <row r="2861" spans="1:1">
      <c r="A2861" s="2">
        <v>3.51</v>
      </c>
    </row>
    <row r="2862" spans="1:1">
      <c r="A2862" s="2">
        <v>3.52</v>
      </c>
    </row>
    <row r="2863" spans="1:1">
      <c r="A2863" s="2">
        <v>3.52</v>
      </c>
    </row>
    <row r="2864" spans="1:1">
      <c r="A2864" s="2">
        <v>3.52</v>
      </c>
    </row>
    <row r="2865" spans="1:1">
      <c r="A2865" s="2">
        <v>3.79</v>
      </c>
    </row>
    <row r="2866" spans="1:1">
      <c r="A2866" s="2">
        <v>3.52</v>
      </c>
    </row>
    <row r="2867" spans="1:1">
      <c r="A2867" s="2">
        <v>3.52</v>
      </c>
    </row>
    <row r="2868" spans="1:1">
      <c r="A2868" s="2">
        <v>3.52</v>
      </c>
    </row>
    <row r="2869" spans="1:1">
      <c r="A2869" s="2">
        <v>3.66</v>
      </c>
    </row>
    <row r="2870" spans="1:1">
      <c r="A2870" s="2">
        <v>3.52</v>
      </c>
    </row>
    <row r="2871" spans="1:1">
      <c r="A2871" s="2">
        <v>3.52</v>
      </c>
    </row>
    <row r="2872" spans="1:1">
      <c r="A2872" s="2">
        <v>3.52</v>
      </c>
    </row>
    <row r="2873" spans="1:1">
      <c r="A2873" s="2">
        <v>3.78</v>
      </c>
    </row>
    <row r="2874" spans="1:1">
      <c r="A2874" s="2">
        <v>3.56</v>
      </c>
    </row>
    <row r="2875" spans="1:1">
      <c r="A2875" s="2">
        <v>3.77</v>
      </c>
    </row>
    <row r="2876" spans="1:1">
      <c r="A2876" s="2">
        <v>3.52</v>
      </c>
    </row>
    <row r="2877" spans="1:1">
      <c r="A2877" s="2">
        <v>3.52</v>
      </c>
    </row>
    <row r="2878" spans="1:1">
      <c r="A2878" s="2">
        <v>3.52</v>
      </c>
    </row>
    <row r="2879" spans="1:1">
      <c r="A2879" s="2">
        <v>3.69</v>
      </c>
    </row>
    <row r="2880" spans="1:1">
      <c r="A2880" s="2">
        <v>3.52</v>
      </c>
    </row>
    <row r="2881" spans="1:1">
      <c r="A2881" s="2">
        <v>3.52</v>
      </c>
    </row>
    <row r="2882" spans="1:1">
      <c r="A2882" s="2">
        <v>3.52</v>
      </c>
    </row>
    <row r="2883" spans="1:1">
      <c r="A2883" s="2">
        <v>3.55</v>
      </c>
    </row>
    <row r="2884" spans="1:1">
      <c r="A2884" s="2">
        <v>3.69</v>
      </c>
    </row>
    <row r="2885" spans="1:1">
      <c r="A2885" s="2">
        <v>3.52</v>
      </c>
    </row>
    <row r="2886" spans="1:1">
      <c r="A2886" s="2">
        <v>3.78</v>
      </c>
    </row>
    <row r="2887" spans="1:1">
      <c r="A2887" s="2">
        <v>3.69</v>
      </c>
    </row>
    <row r="2888" spans="1:1">
      <c r="A2888" s="2">
        <v>3.73</v>
      </c>
    </row>
    <row r="2889" spans="1:1">
      <c r="A2889" s="2">
        <v>3.63</v>
      </c>
    </row>
    <row r="2890" spans="1:1">
      <c r="A2890" s="2">
        <v>3.64</v>
      </c>
    </row>
    <row r="2891" spans="1:1">
      <c r="A2891" s="2">
        <v>3.52</v>
      </c>
    </row>
    <row r="2892" spans="1:1">
      <c r="A2892" s="2">
        <v>3.52</v>
      </c>
    </row>
    <row r="2893" spans="1:1">
      <c r="A2893" s="2">
        <v>3.69</v>
      </c>
    </row>
    <row r="2894" spans="1:1">
      <c r="A2894" s="2">
        <v>3.57</v>
      </c>
    </row>
    <row r="2895" spans="1:1">
      <c r="A2895" s="2">
        <v>3.52</v>
      </c>
    </row>
    <row r="2896" spans="1:1">
      <c r="A2896" s="2">
        <v>3.72</v>
      </c>
    </row>
    <row r="2897" spans="1:1">
      <c r="A2897" s="2">
        <v>3.45</v>
      </c>
    </row>
    <row r="2898" spans="1:1">
      <c r="A2898" s="2">
        <v>3.78</v>
      </c>
    </row>
    <row r="2899" spans="1:1">
      <c r="A2899" s="2">
        <v>3.52</v>
      </c>
    </row>
    <row r="2900" spans="1:1">
      <c r="A2900" s="2">
        <v>3.78</v>
      </c>
    </row>
    <row r="2901" spans="1:1">
      <c r="A2901" s="2">
        <v>3.52</v>
      </c>
    </row>
    <row r="2902" spans="1:1">
      <c r="A2902" s="2">
        <v>3.59</v>
      </c>
    </row>
    <row r="2903" spans="1:1">
      <c r="A2903" s="2">
        <v>3.78</v>
      </c>
    </row>
    <row r="2904" spans="1:1">
      <c r="A2904" s="2">
        <v>3.53</v>
      </c>
    </row>
    <row r="2905" spans="1:1">
      <c r="A2905" s="2">
        <v>3.56</v>
      </c>
    </row>
    <row r="2906" spans="1:1">
      <c r="A2906" s="2">
        <v>3.66</v>
      </c>
    </row>
    <row r="2907" spans="1:1">
      <c r="A2907" s="2">
        <v>3.52</v>
      </c>
    </row>
    <row r="2908" spans="1:1">
      <c r="A2908" s="2">
        <v>3.52</v>
      </c>
    </row>
    <row r="2909" spans="1:1">
      <c r="A2909" s="2">
        <v>3.52</v>
      </c>
    </row>
    <row r="2910" spans="1:1">
      <c r="A2910" s="2">
        <v>3.46</v>
      </c>
    </row>
    <row r="2911" spans="1:1">
      <c r="A2911" s="2">
        <v>3.52</v>
      </c>
    </row>
    <row r="2912" spans="1:1">
      <c r="A2912" s="2">
        <v>3.52</v>
      </c>
    </row>
    <row r="2913" spans="1:1">
      <c r="A2913" s="2">
        <v>3.74</v>
      </c>
    </row>
    <row r="2914" spans="1:1">
      <c r="A2914" s="2">
        <v>3.78</v>
      </c>
    </row>
    <row r="2915" spans="1:1">
      <c r="A2915" s="2">
        <v>3.7</v>
      </c>
    </row>
    <row r="2916" spans="1:1">
      <c r="A2916" s="2">
        <v>3.52</v>
      </c>
    </row>
    <row r="2917" spans="1:1">
      <c r="A2917" s="2">
        <v>3.55</v>
      </c>
    </row>
    <row r="2918" spans="1:1">
      <c r="A2918" s="2">
        <v>3.52</v>
      </c>
    </row>
    <row r="2919" spans="1:1">
      <c r="A2919" s="2">
        <v>3.52</v>
      </c>
    </row>
    <row r="2920" spans="1:1">
      <c r="A2920" s="2">
        <v>3.51</v>
      </c>
    </row>
    <row r="2921" spans="1:1">
      <c r="A2921" s="2">
        <v>3.52</v>
      </c>
    </row>
    <row r="2922" spans="1:1">
      <c r="A2922" s="2">
        <v>3.78</v>
      </c>
    </row>
    <row r="2923" spans="1:1">
      <c r="A2923" s="2">
        <v>3.78</v>
      </c>
    </row>
    <row r="2924" spans="1:1">
      <c r="A2924" s="2">
        <v>3.64</v>
      </c>
    </row>
    <row r="2925" spans="1:1">
      <c r="A2925" s="2">
        <v>3.59</v>
      </c>
    </row>
    <row r="2926" spans="1:1">
      <c r="A2926" s="2">
        <v>3.63</v>
      </c>
    </row>
    <row r="2927" spans="1:1">
      <c r="A2927" s="2">
        <v>3.78</v>
      </c>
    </row>
    <row r="2928" spans="1:1">
      <c r="A2928" s="2">
        <v>3.52</v>
      </c>
    </row>
    <row r="2929" spans="1:1">
      <c r="A2929" s="2">
        <v>3.5</v>
      </c>
    </row>
    <row r="2930" spans="1:1">
      <c r="A2930" s="2">
        <v>3.64</v>
      </c>
    </row>
    <row r="2931" spans="1:1">
      <c r="A2931" s="2">
        <v>3.76</v>
      </c>
    </row>
    <row r="2932" spans="1:1">
      <c r="A2932" s="2">
        <v>3.66</v>
      </c>
    </row>
    <row r="2933" spans="1:1">
      <c r="A2933" s="2">
        <v>3.52</v>
      </c>
    </row>
    <row r="2934" spans="1:1">
      <c r="A2934" s="2">
        <v>3.77</v>
      </c>
    </row>
    <row r="2935" spans="1:1">
      <c r="A2935" s="2">
        <v>3.52</v>
      </c>
    </row>
    <row r="2936" spans="1:1">
      <c r="A2936" s="2">
        <v>3.52</v>
      </c>
    </row>
    <row r="2937" spans="1:1">
      <c r="A2937" s="2">
        <v>3.51</v>
      </c>
    </row>
    <row r="2938" spans="1:1">
      <c r="A2938" s="2">
        <v>3.49</v>
      </c>
    </row>
    <row r="2939" spans="1:1">
      <c r="A2939" s="2">
        <v>3.51</v>
      </c>
    </row>
    <row r="2940" spans="1:1">
      <c r="A2940" s="2">
        <v>3.78</v>
      </c>
    </row>
    <row r="2941" spans="1:1">
      <c r="A2941" s="2">
        <v>3.58</v>
      </c>
    </row>
    <row r="2942" spans="1:1">
      <c r="A2942" s="2">
        <v>3.78</v>
      </c>
    </row>
    <row r="2943" spans="1:1">
      <c r="A2943" s="2">
        <v>3.51</v>
      </c>
    </row>
    <row r="2944" spans="1:1">
      <c r="A2944" s="2">
        <v>3.58</v>
      </c>
    </row>
    <row r="2945" spans="1:1">
      <c r="A2945" s="2">
        <v>3.76</v>
      </c>
    </row>
    <row r="2946" spans="1:1">
      <c r="A2946" s="2">
        <v>3.78</v>
      </c>
    </row>
    <row r="2947" spans="1:1">
      <c r="A2947" s="2">
        <v>3.52</v>
      </c>
    </row>
    <row r="2948" spans="1:1">
      <c r="A2948" s="2">
        <v>3.51</v>
      </c>
    </row>
    <row r="2949" spans="1:1">
      <c r="A2949" s="2">
        <v>3.58</v>
      </c>
    </row>
    <row r="2950" spans="1:1">
      <c r="A2950" s="2">
        <v>3.71</v>
      </c>
    </row>
    <row r="2951" spans="1:1">
      <c r="A2951" s="2">
        <v>3.51</v>
      </c>
    </row>
    <row r="2952" spans="1:1">
      <c r="A2952" s="2">
        <v>3.52</v>
      </c>
    </row>
    <row r="2953" spans="1:1">
      <c r="A2953" s="2">
        <v>3.78</v>
      </c>
    </row>
    <row r="2954" spans="1:1">
      <c r="A2954" s="2">
        <v>3.52</v>
      </c>
    </row>
    <row r="2955" spans="1:1">
      <c r="A2955" s="2">
        <v>3.57</v>
      </c>
    </row>
    <row r="2956" spans="1:1">
      <c r="A2956" s="2">
        <v>3.8</v>
      </c>
    </row>
    <row r="2957" spans="1:1">
      <c r="A2957" s="2">
        <v>3.52</v>
      </c>
    </row>
    <row r="2958" spans="1:1">
      <c r="A2958" s="2">
        <v>3.55</v>
      </c>
    </row>
    <row r="2959" spans="1:1">
      <c r="A2959" s="2">
        <v>3.62</v>
      </c>
    </row>
    <row r="2960" spans="1:1">
      <c r="A2960" s="2">
        <v>3.53</v>
      </c>
    </row>
    <row r="2961" spans="1:1">
      <c r="A2961" s="2">
        <v>3.61</v>
      </c>
    </row>
    <row r="2962" spans="1:1">
      <c r="A2962" s="2">
        <v>3.52</v>
      </c>
    </row>
    <row r="2963" spans="1:1">
      <c r="A2963" s="2">
        <v>3.64</v>
      </c>
    </row>
    <row r="2964" spans="1:1">
      <c r="A2964" s="2">
        <v>3.46</v>
      </c>
    </row>
    <row r="2965" spans="1:1">
      <c r="A2965" s="2">
        <v>3.78</v>
      </c>
    </row>
    <row r="2966" spans="1:1">
      <c r="A2966" s="2">
        <v>3.45</v>
      </c>
    </row>
    <row r="2967" spans="1:1">
      <c r="A2967" s="2">
        <v>3.72</v>
      </c>
    </row>
    <row r="2968" spans="1:1">
      <c r="A2968" s="2">
        <v>3.52</v>
      </c>
    </row>
    <row r="2969" spans="1:1">
      <c r="A2969" s="2">
        <v>3.52</v>
      </c>
    </row>
    <row r="2970" spans="1:1">
      <c r="A2970" s="2">
        <v>3.52</v>
      </c>
    </row>
    <row r="2971" spans="1:1">
      <c r="A2971" s="2">
        <v>3.44</v>
      </c>
    </row>
    <row r="2972" spans="1:1">
      <c r="A2972" s="2">
        <v>3.67</v>
      </c>
    </row>
    <row r="2973" spans="1:1">
      <c r="A2973" s="2">
        <v>3.8</v>
      </c>
    </row>
    <row r="2974" spans="1:1">
      <c r="A2974" s="2">
        <v>3.42</v>
      </c>
    </row>
    <row r="2975" spans="1:1">
      <c r="A2975" s="2">
        <v>3.52</v>
      </c>
    </row>
    <row r="2976" spans="1:1">
      <c r="A2976" s="2">
        <v>3.52</v>
      </c>
    </row>
    <row r="2977" spans="1:1">
      <c r="A2977" s="2">
        <v>3.52</v>
      </c>
    </row>
    <row r="2978" spans="1:1">
      <c r="A2978" s="2">
        <v>3.78</v>
      </c>
    </row>
    <row r="2979" spans="1:1">
      <c r="A2979" s="2">
        <v>3.52</v>
      </c>
    </row>
    <row r="2980" spans="1:1">
      <c r="A2980" s="2">
        <v>3.51</v>
      </c>
    </row>
    <row r="2981" spans="1:1">
      <c r="A2981" s="2">
        <v>3.52</v>
      </c>
    </row>
    <row r="2982" spans="1:1">
      <c r="A2982" s="2">
        <v>3.52</v>
      </c>
    </row>
    <row r="2983" spans="1:1">
      <c r="A2983" s="2">
        <v>3.52</v>
      </c>
    </row>
    <row r="2984" spans="1:1">
      <c r="A2984" s="2">
        <v>3.52</v>
      </c>
    </row>
    <row r="2985" spans="1:1">
      <c r="A2985" s="2">
        <v>3.52</v>
      </c>
    </row>
    <row r="2986" spans="1:1">
      <c r="A2986" s="2">
        <v>3.75</v>
      </c>
    </row>
    <row r="2987" spans="1:1">
      <c r="A2987" s="2">
        <v>3.63</v>
      </c>
    </row>
    <row r="2988" spans="1:1">
      <c r="A2988" s="2">
        <v>3.52</v>
      </c>
    </row>
    <row r="2989" spans="1:1">
      <c r="A2989" s="2">
        <v>3.78</v>
      </c>
    </row>
    <row r="2990" spans="1:1">
      <c r="A2990" s="2">
        <v>3.42</v>
      </c>
    </row>
    <row r="2991" spans="1:1">
      <c r="A2991" s="2">
        <v>3.65</v>
      </c>
    </row>
    <row r="2992" spans="1:1">
      <c r="A2992" s="2">
        <v>3.51</v>
      </c>
    </row>
    <row r="2993" spans="1:1">
      <c r="A2993" s="2">
        <v>3.52</v>
      </c>
    </row>
    <row r="2994" spans="1:1">
      <c r="A2994" s="2">
        <v>3.78</v>
      </c>
    </row>
    <row r="2995" spans="1:1">
      <c r="A2995" s="2">
        <v>3.61</v>
      </c>
    </row>
    <row r="2996" spans="1:1">
      <c r="A2996" s="2">
        <v>3.52</v>
      </c>
    </row>
    <row r="2997" spans="1:1">
      <c r="A2997" s="2">
        <v>3.46</v>
      </c>
    </row>
    <row r="2998" spans="1:1">
      <c r="A2998" s="2">
        <v>3.52</v>
      </c>
    </row>
    <row r="2999" spans="1:1">
      <c r="A2999" s="2">
        <v>3.52</v>
      </c>
    </row>
    <row r="3000" spans="1:1">
      <c r="A3000" s="2">
        <v>3.52</v>
      </c>
    </row>
    <row r="3001" spans="1:1">
      <c r="A3001" s="2">
        <v>3.52</v>
      </c>
    </row>
    <row r="3002" spans="1:1">
      <c r="A3002" s="2">
        <v>3.7</v>
      </c>
    </row>
    <row r="3003" spans="1:1">
      <c r="A3003" s="2">
        <v>3.77</v>
      </c>
    </row>
    <row r="3004" spans="1:1">
      <c r="A3004" s="2">
        <v>3.52</v>
      </c>
    </row>
    <row r="3005" spans="1:1">
      <c r="A3005" s="2">
        <v>3.45</v>
      </c>
    </row>
    <row r="3006" spans="1:1">
      <c r="A3006" s="2">
        <v>3.8</v>
      </c>
    </row>
    <row r="3007" spans="1:1">
      <c r="A3007" s="2">
        <v>3.73</v>
      </c>
    </row>
    <row r="3008" spans="1:1">
      <c r="A3008" s="2">
        <v>3.52</v>
      </c>
    </row>
    <row r="3009" spans="1:1">
      <c r="A3009" s="2">
        <v>3.52</v>
      </c>
    </row>
    <row r="3010" spans="1:1">
      <c r="A3010" s="2">
        <v>3.52</v>
      </c>
    </row>
    <row r="3011" spans="1:1">
      <c r="A3011" s="2">
        <v>3.7</v>
      </c>
    </row>
    <row r="3012" spans="1:1">
      <c r="A3012" s="2">
        <v>3.51</v>
      </c>
    </row>
    <row r="3013" spans="1:1">
      <c r="A3013" s="2">
        <v>3.52</v>
      </c>
    </row>
    <row r="3014" spans="1:1">
      <c r="A3014" s="2">
        <v>3.44</v>
      </c>
    </row>
    <row r="3015" spans="1:1">
      <c r="A3015" s="2">
        <v>3.52</v>
      </c>
    </row>
    <row r="3016" spans="1:1">
      <c r="A3016" s="2">
        <v>3.52</v>
      </c>
    </row>
    <row r="3017" spans="1:1">
      <c r="A3017" s="2">
        <v>3.52</v>
      </c>
    </row>
    <row r="3018" spans="1:1">
      <c r="A3018" s="2">
        <v>3.65</v>
      </c>
    </row>
    <row r="3019" spans="1:1">
      <c r="A3019" s="2">
        <v>3.52</v>
      </c>
    </row>
    <row r="3020" spans="1:1">
      <c r="A3020" s="2">
        <v>3.52</v>
      </c>
    </row>
    <row r="3021" spans="1:1">
      <c r="A3021" s="2">
        <v>3.74</v>
      </c>
    </row>
    <row r="3022" spans="1:1">
      <c r="A3022" s="2">
        <v>3.51</v>
      </c>
    </row>
    <row r="3023" spans="1:1">
      <c r="A3023" s="2">
        <v>3.52</v>
      </c>
    </row>
    <row r="3024" spans="1:1">
      <c r="A3024" s="2">
        <v>3.55</v>
      </c>
    </row>
    <row r="3025" spans="1:1">
      <c r="A3025" s="2">
        <v>3.81</v>
      </c>
    </row>
    <row r="3026" spans="1:1">
      <c r="A3026" s="2">
        <v>3.56</v>
      </c>
    </row>
    <row r="3027" spans="1:1">
      <c r="A3027" s="2">
        <v>3.52</v>
      </c>
    </row>
    <row r="3028" spans="1:1">
      <c r="A3028" s="2">
        <v>3.52</v>
      </c>
    </row>
    <row r="3029" spans="1:1">
      <c r="A3029" s="2">
        <v>3.57</v>
      </c>
    </row>
    <row r="3030" spans="1:1">
      <c r="A3030" s="2">
        <v>3.71</v>
      </c>
    </row>
    <row r="3031" spans="1:1">
      <c r="A3031" s="2">
        <v>3.82</v>
      </c>
    </row>
    <row r="3032" spans="1:1">
      <c r="A3032" s="2">
        <v>3.76</v>
      </c>
    </row>
    <row r="3033" spans="1:1">
      <c r="A3033" s="2">
        <v>3.52</v>
      </c>
    </row>
    <row r="3034" spans="1:1">
      <c r="A3034" s="2">
        <v>3.52</v>
      </c>
    </row>
    <row r="3035" spans="1:1">
      <c r="A3035" s="2">
        <v>3.51</v>
      </c>
    </row>
    <row r="3036" spans="1:1">
      <c r="A3036" s="2">
        <v>3.78</v>
      </c>
    </row>
    <row r="3037" spans="1:1">
      <c r="A3037" s="2">
        <v>3.52</v>
      </c>
    </row>
    <row r="3038" spans="1:1">
      <c r="A3038" s="2">
        <v>3.51</v>
      </c>
    </row>
    <row r="3039" spans="1:1">
      <c r="A3039" s="2">
        <v>3.75</v>
      </c>
    </row>
    <row r="3040" spans="1:1">
      <c r="A3040" s="2">
        <v>3.52</v>
      </c>
    </row>
    <row r="3041" spans="1:1">
      <c r="A3041" s="2">
        <v>3.65</v>
      </c>
    </row>
    <row r="3042" spans="1:1">
      <c r="A3042" s="2">
        <v>3.68</v>
      </c>
    </row>
    <row r="3043" spans="1:1">
      <c r="A3043" s="2">
        <v>3.78</v>
      </c>
    </row>
    <row r="3044" spans="1:1">
      <c r="A3044" s="2">
        <v>3.52</v>
      </c>
    </row>
    <row r="3045" spans="1:1">
      <c r="A3045" s="2">
        <v>3.52</v>
      </c>
    </row>
    <row r="3046" spans="1:1">
      <c r="A3046" s="2">
        <v>3.71</v>
      </c>
    </row>
    <row r="3047" spans="1:1">
      <c r="A3047" s="2">
        <v>3.52</v>
      </c>
    </row>
    <row r="3048" spans="1:1">
      <c r="A3048" s="2">
        <v>3.52</v>
      </c>
    </row>
    <row r="3049" spans="1:1">
      <c r="A3049" s="2">
        <v>3.5</v>
      </c>
    </row>
    <row r="3050" spans="1:1">
      <c r="A3050" s="2">
        <v>3.78</v>
      </c>
    </row>
    <row r="3051" spans="1:1">
      <c r="A3051" s="2">
        <v>3.48</v>
      </c>
    </row>
    <row r="3052" spans="1:1">
      <c r="A3052" s="2">
        <v>3.6</v>
      </c>
    </row>
    <row r="3053" spans="1:1">
      <c r="A3053" s="2">
        <v>3.52</v>
      </c>
    </row>
    <row r="3054" spans="1:1">
      <c r="A3054" s="2">
        <v>3.52</v>
      </c>
    </row>
    <row r="3055" spans="1:1">
      <c r="A3055" s="2">
        <v>3.58</v>
      </c>
    </row>
    <row r="3056" spans="1:1">
      <c r="A3056" s="2">
        <v>3.51</v>
      </c>
    </row>
    <row r="3057" spans="1:1">
      <c r="A3057" s="2">
        <v>3.78</v>
      </c>
    </row>
    <row r="3058" spans="1:1">
      <c r="A3058" s="2">
        <v>3.52</v>
      </c>
    </row>
    <row r="3059" spans="1:1">
      <c r="A3059" s="2">
        <v>3.73</v>
      </c>
    </row>
    <row r="3060" spans="1:1">
      <c r="A3060" s="2">
        <v>3.69</v>
      </c>
    </row>
    <row r="3061" spans="1:1">
      <c r="A3061" s="2">
        <v>3.51</v>
      </c>
    </row>
    <row r="3062" spans="1:1">
      <c r="A3062" s="2">
        <v>3.67</v>
      </c>
    </row>
    <row r="3063" spans="1:1">
      <c r="A3063" s="2">
        <v>3.6</v>
      </c>
    </row>
    <row r="3064" spans="1:1">
      <c r="A3064" s="2">
        <v>3.59</v>
      </c>
    </row>
    <row r="3065" spans="1:1">
      <c r="A3065" s="2">
        <v>3.46</v>
      </c>
    </row>
    <row r="3066" spans="1:1">
      <c r="A3066" s="2">
        <v>3.45</v>
      </c>
    </row>
    <row r="3067" spans="1:1">
      <c r="A3067" s="2">
        <v>3.52</v>
      </c>
    </row>
    <row r="3068" spans="1:1">
      <c r="A3068" s="2">
        <v>3.51</v>
      </c>
    </row>
    <row r="3069" spans="1:1">
      <c r="A3069" s="2">
        <v>3.7</v>
      </c>
    </row>
    <row r="3070" spans="1:1">
      <c r="A3070" s="2">
        <v>3.47</v>
      </c>
    </row>
    <row r="3071" spans="1:1">
      <c r="A3071" s="2">
        <v>3.7</v>
      </c>
    </row>
    <row r="3072" spans="1:1">
      <c r="A3072" s="2">
        <v>3.67</v>
      </c>
    </row>
    <row r="3073" spans="1:1">
      <c r="A3073" s="2">
        <v>3.58</v>
      </c>
    </row>
    <row r="3074" spans="1:1">
      <c r="A3074" s="2">
        <v>3.6</v>
      </c>
    </row>
    <row r="3075" spans="1:1">
      <c r="A3075" s="2">
        <v>3.5</v>
      </c>
    </row>
    <row r="3076" spans="1:1">
      <c r="A3076" s="2">
        <v>3.45</v>
      </c>
    </row>
    <row r="3077" spans="1:1">
      <c r="A3077" s="2">
        <v>3.67</v>
      </c>
    </row>
    <row r="3078" spans="1:1">
      <c r="A3078" s="2">
        <v>3.52</v>
      </c>
    </row>
    <row r="3079" spans="1:1">
      <c r="A3079" s="2">
        <v>3.76</v>
      </c>
    </row>
    <row r="3080" spans="1:1">
      <c r="A3080" s="2">
        <v>3.42</v>
      </c>
    </row>
    <row r="3081" spans="1:1">
      <c r="A3081" s="2">
        <v>3.52</v>
      </c>
    </row>
    <row r="3082" spans="1:1">
      <c r="A3082" s="2">
        <v>3.52</v>
      </c>
    </row>
    <row r="3083" spans="1:1">
      <c r="A3083" s="2">
        <v>3.52</v>
      </c>
    </row>
    <row r="3084" spans="1:1">
      <c r="A3084" s="2">
        <v>3.52</v>
      </c>
    </row>
    <row r="3085" spans="1:1">
      <c r="A3085" s="2">
        <v>3.64</v>
      </c>
    </row>
    <row r="3086" spans="1:1">
      <c r="A3086" s="2">
        <v>3.52</v>
      </c>
    </row>
    <row r="3087" spans="1:1">
      <c r="A3087" s="2">
        <v>3.52</v>
      </c>
    </row>
    <row r="3088" spans="1:1">
      <c r="A3088" s="2">
        <v>3.6</v>
      </c>
    </row>
    <row r="3089" spans="1:1">
      <c r="A3089" s="2">
        <v>3.51</v>
      </c>
    </row>
    <row r="3090" spans="1:1">
      <c r="A3090" s="2">
        <v>3.51</v>
      </c>
    </row>
    <row r="3091" spans="1:1">
      <c r="A3091" s="2">
        <v>3.52</v>
      </c>
    </row>
    <row r="3092" spans="1:1">
      <c r="A3092" s="2">
        <v>3.63</v>
      </c>
    </row>
    <row r="3093" spans="1:1">
      <c r="A3093" s="2">
        <v>3.52</v>
      </c>
    </row>
    <row r="3094" spans="1:1">
      <c r="A3094" s="2">
        <v>3.6</v>
      </c>
    </row>
    <row r="3095" spans="1:1">
      <c r="A3095" s="2">
        <v>3.52</v>
      </c>
    </row>
    <row r="3096" spans="1:1">
      <c r="A3096" s="2">
        <v>3.52</v>
      </c>
    </row>
    <row r="3097" spans="1:1">
      <c r="A3097" s="2">
        <v>3.52</v>
      </c>
    </row>
    <row r="3098" spans="1:1">
      <c r="A3098" s="2">
        <v>3.78</v>
      </c>
    </row>
    <row r="3099" spans="1:1">
      <c r="A3099" s="2">
        <v>3.52</v>
      </c>
    </row>
    <row r="3100" spans="1:1">
      <c r="A3100" s="2">
        <v>3.52</v>
      </c>
    </row>
    <row r="3101" spans="1:1">
      <c r="A3101" s="2">
        <v>3.67</v>
      </c>
    </row>
    <row r="3102" spans="1:1">
      <c r="A3102" s="2">
        <v>3.78</v>
      </c>
    </row>
    <row r="3103" spans="1:1">
      <c r="A3103" s="2">
        <v>3.7</v>
      </c>
    </row>
    <row r="3104" spans="1:1">
      <c r="A3104" s="2">
        <v>3.52</v>
      </c>
    </row>
    <row r="3105" spans="1:1">
      <c r="A3105" s="2">
        <v>3.51</v>
      </c>
    </row>
    <row r="3106" spans="1:1">
      <c r="A3106" s="2">
        <v>3.56</v>
      </c>
    </row>
    <row r="3107" spans="1:1">
      <c r="A3107" s="2">
        <v>3.52</v>
      </c>
    </row>
    <row r="3108" spans="1:1">
      <c r="A3108" s="2">
        <v>3.53</v>
      </c>
    </row>
    <row r="3109" spans="1:1">
      <c r="A3109" s="2">
        <v>3.55</v>
      </c>
    </row>
    <row r="3110" spans="1:1">
      <c r="A3110" s="2">
        <v>3.52</v>
      </c>
    </row>
    <row r="3111" spans="1:1">
      <c r="A3111" s="2">
        <v>3.5</v>
      </c>
    </row>
    <row r="3112" spans="1:1">
      <c r="A3112" s="2">
        <v>3.52</v>
      </c>
    </row>
    <row r="3113" spans="1:1">
      <c r="A3113" s="2">
        <v>3.74</v>
      </c>
    </row>
    <row r="3114" spans="1:1">
      <c r="A3114" s="2">
        <v>3.52</v>
      </c>
    </row>
    <row r="3115" spans="1:1">
      <c r="A3115" s="2">
        <v>3.74</v>
      </c>
    </row>
    <row r="3116" spans="1:1">
      <c r="A3116" s="2">
        <v>3.79</v>
      </c>
    </row>
    <row r="3117" spans="1:1">
      <c r="A3117" s="2">
        <v>3.63</v>
      </c>
    </row>
    <row r="3118" spans="1:1">
      <c r="A3118" s="2">
        <v>3.65</v>
      </c>
    </row>
    <row r="3119" spans="1:1">
      <c r="A3119" s="2">
        <v>3.52</v>
      </c>
    </row>
    <row r="3120" spans="1:1">
      <c r="A3120" s="2">
        <v>3.52</v>
      </c>
    </row>
    <row r="3121" spans="1:1">
      <c r="A3121" s="2">
        <v>3.62</v>
      </c>
    </row>
    <row r="3122" spans="1:1">
      <c r="A3122" s="2">
        <v>3.52</v>
      </c>
    </row>
    <row r="3123" spans="1:1">
      <c r="A3123" s="2">
        <v>3.53</v>
      </c>
    </row>
    <row r="3124" spans="1:1">
      <c r="A3124" s="2">
        <v>3.5</v>
      </c>
    </row>
    <row r="3125" spans="1:1">
      <c r="A3125" s="2">
        <v>3.52</v>
      </c>
    </row>
    <row r="3126" spans="1:1">
      <c r="A3126" s="2">
        <v>3.52</v>
      </c>
    </row>
    <row r="3127" spans="1:1">
      <c r="A3127" s="2">
        <v>3.52</v>
      </c>
    </row>
    <row r="3128" spans="1:1">
      <c r="A3128" s="2">
        <v>3.52</v>
      </c>
    </row>
    <row r="3129" spans="1:1">
      <c r="A3129" s="2">
        <v>3.52</v>
      </c>
    </row>
    <row r="3130" spans="1:1">
      <c r="A3130" s="2">
        <v>3.52</v>
      </c>
    </row>
    <row r="3131" spans="1:1">
      <c r="A3131" s="2">
        <v>3.52</v>
      </c>
    </row>
    <row r="3132" spans="1:1">
      <c r="A3132" s="2">
        <v>3.65</v>
      </c>
    </row>
    <row r="3133" spans="1:1">
      <c r="A3133" s="2">
        <v>3.75</v>
      </c>
    </row>
    <row r="3134" spans="1:1">
      <c r="A3134" s="2">
        <v>3.58</v>
      </c>
    </row>
    <row r="3135" spans="1:1">
      <c r="A3135" s="2">
        <v>3.79</v>
      </c>
    </row>
    <row r="3136" spans="1:1">
      <c r="A3136" s="2">
        <v>3.74</v>
      </c>
    </row>
    <row r="3137" spans="1:1">
      <c r="A3137" s="2">
        <v>3.52</v>
      </c>
    </row>
    <row r="3138" spans="1:1">
      <c r="A3138" s="2">
        <v>3.61</v>
      </c>
    </row>
    <row r="3139" spans="1:1">
      <c r="A3139" s="2">
        <v>3.52</v>
      </c>
    </row>
    <row r="3140" spans="1:1">
      <c r="A3140" s="2">
        <v>3.78</v>
      </c>
    </row>
    <row r="3141" spans="1:1">
      <c r="A3141" s="2">
        <v>3.56</v>
      </c>
    </row>
    <row r="3142" spans="1:1">
      <c r="A3142" s="2">
        <v>3.75</v>
      </c>
    </row>
    <row r="3143" spans="1:1">
      <c r="A3143" s="2">
        <v>3.51</v>
      </c>
    </row>
    <row r="3144" spans="1:1">
      <c r="A3144" s="2">
        <v>3.78</v>
      </c>
    </row>
    <row r="3145" spans="1:1">
      <c r="A3145" s="2">
        <v>3.77</v>
      </c>
    </row>
    <row r="3146" spans="1:1">
      <c r="A3146" s="2">
        <v>3.68</v>
      </c>
    </row>
    <row r="3147" spans="1:1">
      <c r="A3147" s="2">
        <v>3.64</v>
      </c>
    </row>
    <row r="3148" spans="1:1">
      <c r="A3148" s="2">
        <v>3.61</v>
      </c>
    </row>
    <row r="3149" spans="1:1">
      <c r="A3149" s="2">
        <v>3.52</v>
      </c>
    </row>
    <row r="3150" spans="1:1">
      <c r="A3150" s="2">
        <v>3.52</v>
      </c>
    </row>
    <row r="3151" spans="1:1">
      <c r="A3151" s="2">
        <v>3.41</v>
      </c>
    </row>
    <row r="3152" spans="1:1">
      <c r="A3152" s="2">
        <v>3.52</v>
      </c>
    </row>
    <row r="3153" spans="1:1">
      <c r="A3153" s="2">
        <v>3.52</v>
      </c>
    </row>
    <row r="3154" spans="1:1">
      <c r="A3154" s="2">
        <v>3.52</v>
      </c>
    </row>
    <row r="3155" spans="1:1">
      <c r="A3155" s="2">
        <v>3.61</v>
      </c>
    </row>
    <row r="3156" spans="1:1">
      <c r="A3156" s="2">
        <v>3.79</v>
      </c>
    </row>
    <row r="3157" spans="1:1">
      <c r="A3157" s="2">
        <v>3.52</v>
      </c>
    </row>
    <row r="3158" spans="1:1">
      <c r="A3158" s="2">
        <v>3.61</v>
      </c>
    </row>
    <row r="3159" spans="1:1">
      <c r="A3159" s="2">
        <v>3.52</v>
      </c>
    </row>
    <row r="3160" spans="1:1">
      <c r="A3160" s="2">
        <v>3.72</v>
      </c>
    </row>
    <row r="3161" spans="1:1">
      <c r="A3161" s="2">
        <v>3.52</v>
      </c>
    </row>
    <row r="3162" spans="1:1">
      <c r="A3162" s="2">
        <v>3.64</v>
      </c>
    </row>
    <row r="3163" spans="1:1">
      <c r="A3163" s="2">
        <v>3.77</v>
      </c>
    </row>
    <row r="3164" spans="1:1">
      <c r="A3164" s="2">
        <v>3.78</v>
      </c>
    </row>
    <row r="3165" spans="1:1">
      <c r="A3165" s="2">
        <v>3.64</v>
      </c>
    </row>
    <row r="3166" spans="1:1">
      <c r="A3166" s="2">
        <v>3.5</v>
      </c>
    </row>
    <row r="3167" spans="1:1">
      <c r="A3167" s="2">
        <v>3.52</v>
      </c>
    </row>
    <row r="3168" spans="1:1">
      <c r="A3168" s="2">
        <v>3.52</v>
      </c>
    </row>
    <row r="3169" spans="1:1">
      <c r="A3169" s="2">
        <v>3.66</v>
      </c>
    </row>
    <row r="3170" spans="1:1">
      <c r="A3170" s="2">
        <v>3.55</v>
      </c>
    </row>
    <row r="3171" spans="1:1">
      <c r="A3171" s="2">
        <v>3.42</v>
      </c>
    </row>
    <row r="3172" spans="1:1">
      <c r="A3172" s="2">
        <v>3.52</v>
      </c>
    </row>
    <row r="3173" spans="1:1">
      <c r="A3173" s="2">
        <v>3.59</v>
      </c>
    </row>
    <row r="3174" spans="1:1">
      <c r="A3174" s="2">
        <v>3.66</v>
      </c>
    </row>
    <row r="3175" spans="1:1">
      <c r="A3175" s="2">
        <v>3.52</v>
      </c>
    </row>
    <row r="3176" spans="1:1">
      <c r="A3176" s="2">
        <v>3.52</v>
      </c>
    </row>
    <row r="3177" spans="1:1">
      <c r="A3177" s="2">
        <v>3.43</v>
      </c>
    </row>
    <row r="3178" spans="1:1">
      <c r="A3178" s="2">
        <v>3.56</v>
      </c>
    </row>
    <row r="3179" spans="1:1">
      <c r="A3179" s="2">
        <v>3.41</v>
      </c>
    </row>
    <row r="3180" spans="1:1">
      <c r="A3180" s="2">
        <v>3.62</v>
      </c>
    </row>
    <row r="3181" spans="1:1">
      <c r="A3181" s="2">
        <v>3.52</v>
      </c>
    </row>
    <row r="3182" spans="1:1">
      <c r="A3182" s="2">
        <v>3.52</v>
      </c>
    </row>
    <row r="3183" spans="1:1">
      <c r="A3183" s="2">
        <v>3.74</v>
      </c>
    </row>
    <row r="3184" spans="1:1">
      <c r="A3184" s="2">
        <v>3.52</v>
      </c>
    </row>
    <row r="3185" spans="1:1">
      <c r="A3185" s="2">
        <v>3.52</v>
      </c>
    </row>
    <row r="3186" spans="1:1">
      <c r="A3186" s="2">
        <v>3.75</v>
      </c>
    </row>
    <row r="3187" spans="1:1">
      <c r="A3187" s="2">
        <v>3.52</v>
      </c>
    </row>
    <row r="3188" spans="1:1">
      <c r="A3188" s="2">
        <v>3.54</v>
      </c>
    </row>
    <row r="3189" spans="1:1">
      <c r="A3189" s="2">
        <v>3.51</v>
      </c>
    </row>
    <row r="3190" spans="1:1">
      <c r="A3190" s="2">
        <v>3.52</v>
      </c>
    </row>
    <row r="3191" spans="1:1">
      <c r="A3191" s="2">
        <v>3.77</v>
      </c>
    </row>
    <row r="3192" spans="1:1">
      <c r="A3192" s="2">
        <v>3.78</v>
      </c>
    </row>
    <row r="3193" spans="1:1">
      <c r="A3193" s="2">
        <v>3.62</v>
      </c>
    </row>
    <row r="3194" spans="1:1">
      <c r="A3194" s="2">
        <v>3.51</v>
      </c>
    </row>
    <row r="3195" spans="1:1">
      <c r="A3195" s="2">
        <v>3.81</v>
      </c>
    </row>
    <row r="3196" spans="1:1">
      <c r="A3196" s="2">
        <v>3.72</v>
      </c>
    </row>
    <row r="3197" spans="1:1">
      <c r="A3197" s="2">
        <v>3.78</v>
      </c>
    </row>
    <row r="3198" spans="1:1">
      <c r="A3198" s="2">
        <v>3.44</v>
      </c>
    </row>
    <row r="3199" spans="1:1">
      <c r="A3199" s="2">
        <v>3.54</v>
      </c>
    </row>
    <row r="3200" spans="1:1">
      <c r="A3200" s="2">
        <v>3.52</v>
      </c>
    </row>
    <row r="3201" spans="1:1">
      <c r="A3201" s="2">
        <v>3.52</v>
      </c>
    </row>
    <row r="3202" spans="1:1">
      <c r="A3202" s="2">
        <v>3.52</v>
      </c>
    </row>
    <row r="3203" spans="1:1">
      <c r="A3203" s="2">
        <v>3.72</v>
      </c>
    </row>
    <row r="3204" spans="1:1">
      <c r="A3204" s="2">
        <v>3.51</v>
      </c>
    </row>
    <row r="3205" spans="1:1">
      <c r="A3205" s="2">
        <v>3.42</v>
      </c>
    </row>
    <row r="3206" spans="1:1">
      <c r="A3206" s="2">
        <v>3.52</v>
      </c>
    </row>
    <row r="3207" spans="1:1">
      <c r="A3207" s="2">
        <v>3.52</v>
      </c>
    </row>
    <row r="3208" spans="1:1">
      <c r="A3208" s="2">
        <v>3.52</v>
      </c>
    </row>
    <row r="3209" spans="1:1">
      <c r="A3209" s="2">
        <v>3.65</v>
      </c>
    </row>
    <row r="3210" spans="1:1">
      <c r="A3210" s="2">
        <v>3.78</v>
      </c>
    </row>
    <row r="3211" spans="1:1">
      <c r="A3211" s="2">
        <v>3.52</v>
      </c>
    </row>
    <row r="3212" spans="1:1">
      <c r="A3212" s="2">
        <v>3.71</v>
      </c>
    </row>
    <row r="3213" spans="1:1">
      <c r="A3213" s="2">
        <v>3.57</v>
      </c>
    </row>
    <row r="3214" spans="1:1">
      <c r="A3214" s="2">
        <v>3.52</v>
      </c>
    </row>
    <row r="3215" spans="1:1">
      <c r="A3215" s="2">
        <v>3.66</v>
      </c>
    </row>
    <row r="3216" spans="1:1">
      <c r="A3216" s="2">
        <v>3.47</v>
      </c>
    </row>
    <row r="3217" spans="1:1">
      <c r="A3217" s="2">
        <v>3.55</v>
      </c>
    </row>
    <row r="3218" spans="1:1">
      <c r="A3218" s="2">
        <v>3.52</v>
      </c>
    </row>
    <row r="3219" spans="1:1">
      <c r="A3219" s="2">
        <v>3.48</v>
      </c>
    </row>
    <row r="3220" spans="1:1">
      <c r="A3220" s="2">
        <v>3.51</v>
      </c>
    </row>
    <row r="3221" spans="1:1">
      <c r="A3221" s="2">
        <v>3.73</v>
      </c>
    </row>
    <row r="3222" spans="1:1">
      <c r="A3222" s="2">
        <v>3.63</v>
      </c>
    </row>
    <row r="3223" spans="1:1">
      <c r="A3223" s="2">
        <v>3.51</v>
      </c>
    </row>
    <row r="3224" spans="1:1">
      <c r="A3224" s="2">
        <v>3.52</v>
      </c>
    </row>
    <row r="3225" spans="1:1">
      <c r="A3225" s="2">
        <v>3.52</v>
      </c>
    </row>
    <row r="3226" spans="1:1">
      <c r="A3226" s="2">
        <v>3.52</v>
      </c>
    </row>
    <row r="3227" spans="1:1">
      <c r="A3227" s="2">
        <v>3.45</v>
      </c>
    </row>
    <row r="3228" spans="1:1">
      <c r="A3228" s="2">
        <v>3.52</v>
      </c>
    </row>
    <row r="3229" spans="1:1">
      <c r="A3229" s="2">
        <v>3.53</v>
      </c>
    </row>
    <row r="3230" spans="1:1">
      <c r="A3230" s="2">
        <v>3.67</v>
      </c>
    </row>
    <row r="3231" spans="1:1">
      <c r="A3231" s="2">
        <v>3.44</v>
      </c>
    </row>
    <row r="3232" spans="1:1">
      <c r="A3232" s="2">
        <v>3.61</v>
      </c>
    </row>
    <row r="3233" spans="1:1">
      <c r="A3233" s="2">
        <v>3.52</v>
      </c>
    </row>
    <row r="3234" spans="1:1">
      <c r="A3234" s="2">
        <v>3.52</v>
      </c>
    </row>
    <row r="3235" spans="1:1">
      <c r="A3235" s="2">
        <v>3.48</v>
      </c>
    </row>
    <row r="3236" spans="1:1">
      <c r="A3236" s="2">
        <v>3.52</v>
      </c>
    </row>
    <row r="3237" spans="1:1">
      <c r="A3237" s="2">
        <v>3.51</v>
      </c>
    </row>
    <row r="3238" spans="1:1">
      <c r="A3238" s="2">
        <v>3.76</v>
      </c>
    </row>
    <row r="3239" spans="1:1">
      <c r="A3239" s="2">
        <v>3.59</v>
      </c>
    </row>
    <row r="3240" spans="1:1">
      <c r="A3240" s="2">
        <v>3.53</v>
      </c>
    </row>
    <row r="3241" spans="1:1">
      <c r="A3241" s="2">
        <v>3.68</v>
      </c>
    </row>
    <row r="3242" spans="1:1">
      <c r="A3242" s="2">
        <v>3.75</v>
      </c>
    </row>
    <row r="3243" spans="1:1">
      <c r="A3243" s="2">
        <v>3.44</v>
      </c>
    </row>
    <row r="3244" spans="1:1">
      <c r="A3244" s="2">
        <v>3.52</v>
      </c>
    </row>
    <row r="3245" spans="1:1">
      <c r="A3245" s="2">
        <v>3.69</v>
      </c>
    </row>
    <row r="3246" spans="1:1">
      <c r="A3246" s="2">
        <v>3.56</v>
      </c>
    </row>
    <row r="3247" spans="1:1">
      <c r="A3247" s="2">
        <v>3.54</v>
      </c>
    </row>
    <row r="3248" spans="1:1">
      <c r="A3248" s="2">
        <v>3.57</v>
      </c>
    </row>
    <row r="3249" spans="1:1">
      <c r="A3249" s="2">
        <v>3.52</v>
      </c>
    </row>
    <row r="3250" spans="1:1">
      <c r="A3250" s="2">
        <v>3.66</v>
      </c>
    </row>
    <row r="3251" spans="1:1">
      <c r="A3251" s="2">
        <v>3.52</v>
      </c>
    </row>
    <row r="3252" spans="1:1">
      <c r="A3252" s="2">
        <v>3.52</v>
      </c>
    </row>
    <row r="3253" spans="1:1">
      <c r="A3253" s="2">
        <v>3.63</v>
      </c>
    </row>
    <row r="3254" spans="1:1">
      <c r="A3254" s="2">
        <v>3.52</v>
      </c>
    </row>
    <row r="3255" spans="1:1">
      <c r="A3255" s="2">
        <v>3.52</v>
      </c>
    </row>
    <row r="3256" spans="1:1">
      <c r="A3256" s="2">
        <v>3.79</v>
      </c>
    </row>
    <row r="3257" spans="1:1">
      <c r="A3257" s="2">
        <v>3.52</v>
      </c>
    </row>
    <row r="3258" spans="1:1">
      <c r="A3258" s="2">
        <v>3.66</v>
      </c>
    </row>
    <row r="3259" spans="1:1">
      <c r="A3259" s="2">
        <v>3.52</v>
      </c>
    </row>
    <row r="3260" spans="1:1">
      <c r="A3260" s="2">
        <v>3.68</v>
      </c>
    </row>
    <row r="3261" spans="1:1">
      <c r="A3261" s="2">
        <v>3.49</v>
      </c>
    </row>
    <row r="3262" spans="1:1">
      <c r="A3262" s="2">
        <v>3.64</v>
      </c>
    </row>
    <row r="3263" spans="1:1">
      <c r="A3263" s="2">
        <v>3.52</v>
      </c>
    </row>
    <row r="3264" spans="1:1">
      <c r="A3264" s="2">
        <v>3.52</v>
      </c>
    </row>
    <row r="3265" spans="1:1">
      <c r="A3265" s="2">
        <v>3.68</v>
      </c>
    </row>
    <row r="3266" spans="1:1">
      <c r="A3266" s="2">
        <v>3.55</v>
      </c>
    </row>
    <row r="3267" spans="1:1">
      <c r="A3267" s="2">
        <v>3.52</v>
      </c>
    </row>
    <row r="3268" spans="1:1">
      <c r="A3268" s="2">
        <v>3.78</v>
      </c>
    </row>
    <row r="3269" spans="1:1">
      <c r="A3269" s="2">
        <v>3.77</v>
      </c>
    </row>
    <row r="3270" spans="1:1">
      <c r="A3270" s="2">
        <v>3.61</v>
      </c>
    </row>
    <row r="3271" spans="1:1">
      <c r="A3271" s="2">
        <v>3.52</v>
      </c>
    </row>
    <row r="3272" spans="1:1">
      <c r="A3272" s="2">
        <v>3.69</v>
      </c>
    </row>
    <row r="3273" spans="1:1">
      <c r="A3273" s="2">
        <v>3.52</v>
      </c>
    </row>
    <row r="3274" spans="1:1">
      <c r="A3274" s="2">
        <v>3.52</v>
      </c>
    </row>
    <row r="3275" spans="1:1">
      <c r="A3275" s="2">
        <v>3.67</v>
      </c>
    </row>
    <row r="3276" spans="1:1">
      <c r="A3276" s="2">
        <v>3.52</v>
      </c>
    </row>
    <row r="3277" spans="1:1">
      <c r="A3277" s="2">
        <v>3.51</v>
      </c>
    </row>
    <row r="3278" spans="1:1">
      <c r="A3278" s="2">
        <v>3.75</v>
      </c>
    </row>
    <row r="3279" spans="1:1">
      <c r="A3279" s="2">
        <v>3.52</v>
      </c>
    </row>
    <row r="3280" spans="1:1">
      <c r="A3280" s="2">
        <v>3.52</v>
      </c>
    </row>
    <row r="3281" spans="1:1">
      <c r="A3281" s="2">
        <v>3.61</v>
      </c>
    </row>
    <row r="3282" spans="1:1">
      <c r="A3282" s="2">
        <v>3.52</v>
      </c>
    </row>
    <row r="3283" spans="1:1">
      <c r="A3283" s="2">
        <v>3.52</v>
      </c>
    </row>
    <row r="3284" spans="1:1">
      <c r="A3284" s="2">
        <v>3.73</v>
      </c>
    </row>
    <row r="3285" spans="1:1">
      <c r="A3285" s="2">
        <v>3.52</v>
      </c>
    </row>
    <row r="3286" spans="1:1">
      <c r="A3286" s="2">
        <v>3.51</v>
      </c>
    </row>
    <row r="3287" spans="1:1">
      <c r="A3287" s="2">
        <v>3.52</v>
      </c>
    </row>
    <row r="3288" spans="1:1">
      <c r="A3288" s="2">
        <v>3.52</v>
      </c>
    </row>
    <row r="3289" spans="1:1">
      <c r="A3289" s="2">
        <v>3.52</v>
      </c>
    </row>
    <row r="3290" spans="1:1">
      <c r="A3290" s="2">
        <v>3.53</v>
      </c>
    </row>
    <row r="3291" spans="1:1">
      <c r="A3291" s="2">
        <v>3.52</v>
      </c>
    </row>
    <row r="3292" spans="1:1">
      <c r="A3292" s="2">
        <v>3.52</v>
      </c>
    </row>
    <row r="3293" spans="1:1">
      <c r="A3293" s="2">
        <v>3.51</v>
      </c>
    </row>
    <row r="3294" spans="1:1">
      <c r="A3294" s="2">
        <v>3.73</v>
      </c>
    </row>
    <row r="3295" spans="1:1">
      <c r="A3295" s="2">
        <v>3.52</v>
      </c>
    </row>
    <row r="3296" spans="1:1">
      <c r="A3296" s="2">
        <v>3.48</v>
      </c>
    </row>
    <row r="3297" spans="1:1">
      <c r="A3297" s="2">
        <v>3.61</v>
      </c>
    </row>
    <row r="3298" spans="1:1">
      <c r="A3298" s="2">
        <v>3.52</v>
      </c>
    </row>
    <row r="3299" spans="1:1">
      <c r="A3299" s="2">
        <v>3.52</v>
      </c>
    </row>
    <row r="3300" spans="1:1">
      <c r="A3300" s="2">
        <v>3.72</v>
      </c>
    </row>
    <row r="3301" spans="1:1">
      <c r="A3301" s="2">
        <v>3.52</v>
      </c>
    </row>
    <row r="3302" spans="1:1">
      <c r="A3302" s="2">
        <v>3.82</v>
      </c>
    </row>
    <row r="3303" spans="1:1">
      <c r="A3303" s="2">
        <v>3.8</v>
      </c>
    </row>
    <row r="3304" spans="1:1">
      <c r="A3304" s="2">
        <v>3.66</v>
      </c>
    </row>
    <row r="3305" spans="1:1">
      <c r="A3305" s="2">
        <v>3.52</v>
      </c>
    </row>
    <row r="3306" spans="1:1">
      <c r="A3306" s="2">
        <v>3.52</v>
      </c>
    </row>
    <row r="3307" spans="1:1">
      <c r="A3307" s="2">
        <v>3.52</v>
      </c>
    </row>
    <row r="3308" spans="1:1">
      <c r="A3308" s="2">
        <v>3.52</v>
      </c>
    </row>
    <row r="3309" spans="1:1">
      <c r="A3309" s="2">
        <v>3.52</v>
      </c>
    </row>
    <row r="3310" spans="1:1">
      <c r="A3310" s="2">
        <v>3.72</v>
      </c>
    </row>
    <row r="3311" spans="1:1">
      <c r="A3311" s="2">
        <v>3.52</v>
      </c>
    </row>
    <row r="3312" spans="1:1">
      <c r="A3312" s="2">
        <v>3.66</v>
      </c>
    </row>
    <row r="3313" spans="1:1">
      <c r="A3313" s="2">
        <v>3.44</v>
      </c>
    </row>
    <row r="3314" spans="1:1">
      <c r="A3314" s="2">
        <v>3.52</v>
      </c>
    </row>
    <row r="3315" spans="1:1">
      <c r="A3315" s="2">
        <v>3.47</v>
      </c>
    </row>
    <row r="3316" spans="1:1">
      <c r="A3316" s="2">
        <v>3.61</v>
      </c>
    </row>
    <row r="3317" spans="1:1">
      <c r="A3317" s="2">
        <v>3.55</v>
      </c>
    </row>
    <row r="3318" spans="1:1">
      <c r="A3318" s="2">
        <v>3.6</v>
      </c>
    </row>
    <row r="3319" spans="1:1">
      <c r="A3319" s="2">
        <v>3.54</v>
      </c>
    </row>
    <row r="3320" spans="1:1">
      <c r="A3320" s="2">
        <v>3.52</v>
      </c>
    </row>
    <row r="3321" spans="1:1">
      <c r="A3321" s="2">
        <v>3.49</v>
      </c>
    </row>
    <row r="3322" spans="1:1">
      <c r="A3322" s="2">
        <v>3.42</v>
      </c>
    </row>
    <row r="3323" spans="1:1">
      <c r="A3323" s="2">
        <v>3.64</v>
      </c>
    </row>
    <row r="3324" spans="1:1">
      <c r="A3324" s="2">
        <v>3.52</v>
      </c>
    </row>
    <row r="3325" spans="1:1">
      <c r="A3325" s="2">
        <v>3.67</v>
      </c>
    </row>
    <row r="3326" spans="1:1">
      <c r="A3326" s="2">
        <v>3.66</v>
      </c>
    </row>
    <row r="3327" spans="1:1">
      <c r="A3327" s="2">
        <v>3.78</v>
      </c>
    </row>
    <row r="3328" spans="1:1">
      <c r="A3328" s="2">
        <v>3.43</v>
      </c>
    </row>
    <row r="3329" spans="1:1">
      <c r="A3329" s="2">
        <v>3.52</v>
      </c>
    </row>
    <row r="3330" spans="1:1">
      <c r="A3330" s="2">
        <v>3.52</v>
      </c>
    </row>
    <row r="3331" spans="1:1">
      <c r="A3331" s="2">
        <v>3.52</v>
      </c>
    </row>
    <row r="3332" spans="1:1">
      <c r="A3332" s="2">
        <v>3.52</v>
      </c>
    </row>
    <row r="3333" spans="1:1">
      <c r="A3333" s="2">
        <v>3.76</v>
      </c>
    </row>
    <row r="3334" spans="1:1">
      <c r="A3334" s="2">
        <v>3.78</v>
      </c>
    </row>
    <row r="3335" spans="1:1">
      <c r="A3335" s="2">
        <v>3.52</v>
      </c>
    </row>
    <row r="3336" spans="1:1">
      <c r="A3336" s="2">
        <v>3.61</v>
      </c>
    </row>
    <row r="3337" spans="1:1">
      <c r="A3337" s="2">
        <v>3.57</v>
      </c>
    </row>
    <row r="3338" spans="1:1">
      <c r="A3338" s="2">
        <v>3.68</v>
      </c>
    </row>
    <row r="3339" spans="1:1">
      <c r="A3339" s="2">
        <v>3.46</v>
      </c>
    </row>
    <row r="3340" spans="1:1">
      <c r="A3340" s="2">
        <v>3.61</v>
      </c>
    </row>
    <row r="3341" spans="1:1">
      <c r="A3341" s="2">
        <v>3.52</v>
      </c>
    </row>
    <row r="3342" spans="1:1">
      <c r="A3342" s="2">
        <v>3.52</v>
      </c>
    </row>
    <row r="3343" spans="1:1">
      <c r="A3343" s="2">
        <v>3.54</v>
      </c>
    </row>
    <row r="3344" spans="1:1">
      <c r="A3344" s="2">
        <v>3.7</v>
      </c>
    </row>
    <row r="3345" spans="1:1">
      <c r="A3345" s="2">
        <v>3.78</v>
      </c>
    </row>
    <row r="3346" spans="1:1">
      <c r="A3346" s="2">
        <v>3.64</v>
      </c>
    </row>
    <row r="3347" spans="1:1">
      <c r="A3347" s="2">
        <v>3.52</v>
      </c>
    </row>
    <row r="3348" spans="1:1">
      <c r="A3348" s="2">
        <v>3.52</v>
      </c>
    </row>
    <row r="3349" spans="1:1">
      <c r="A3349" s="2">
        <v>3.53</v>
      </c>
    </row>
    <row r="3350" spans="1:1">
      <c r="A3350" s="2">
        <v>3.61</v>
      </c>
    </row>
    <row r="3351" spans="1:1">
      <c r="A3351" s="2">
        <v>3.63</v>
      </c>
    </row>
    <row r="3352" spans="1:1">
      <c r="A3352" s="2">
        <v>3.66</v>
      </c>
    </row>
    <row r="3353" spans="1:1">
      <c r="A3353" s="2">
        <v>3.71</v>
      </c>
    </row>
    <row r="3354" spans="1:1">
      <c r="A3354" s="2">
        <v>3.52</v>
      </c>
    </row>
    <row r="3355" spans="1:1">
      <c r="A3355" s="2">
        <v>3.79</v>
      </c>
    </row>
    <row r="3356" spans="1:1">
      <c r="A3356" s="2">
        <v>3.62</v>
      </c>
    </row>
    <row r="3357" spans="1:1">
      <c r="A3357" s="2">
        <v>3.7</v>
      </c>
    </row>
    <row r="3358" spans="1:1">
      <c r="A3358" s="2">
        <v>3.78</v>
      </c>
    </row>
    <row r="3359" spans="1:1">
      <c r="A3359" s="2">
        <v>3.57</v>
      </c>
    </row>
    <row r="3360" spans="1:1">
      <c r="A3360" s="2">
        <v>3.72</v>
      </c>
    </row>
    <row r="3361" spans="1:1">
      <c r="A3361" s="2">
        <v>3.52</v>
      </c>
    </row>
    <row r="3362" spans="1:1">
      <c r="A3362" s="2">
        <v>3.52</v>
      </c>
    </row>
    <row r="3363" spans="1:1">
      <c r="A3363" s="2">
        <v>3.52</v>
      </c>
    </row>
    <row r="3364" spans="1:1">
      <c r="A3364" s="2">
        <v>3.46</v>
      </c>
    </row>
    <row r="3365" spans="1:1">
      <c r="A3365" s="2">
        <v>3.52</v>
      </c>
    </row>
    <row r="3366" spans="1:1">
      <c r="A3366" s="2">
        <v>3.52</v>
      </c>
    </row>
    <row r="3367" spans="1:1">
      <c r="A3367" s="2">
        <v>3.76</v>
      </c>
    </row>
    <row r="3368" spans="1:1">
      <c r="A3368" s="2">
        <v>3.52</v>
      </c>
    </row>
    <row r="3369" spans="1:1">
      <c r="A3369" s="2">
        <v>3.62</v>
      </c>
    </row>
    <row r="3370" spans="1:1">
      <c r="A3370" s="2">
        <v>3.61</v>
      </c>
    </row>
    <row r="3371" spans="1:1">
      <c r="A3371" s="2">
        <v>3.52</v>
      </c>
    </row>
    <row r="3372" spans="1:1">
      <c r="A3372" s="2">
        <v>3.52</v>
      </c>
    </row>
    <row r="3373" spans="1:1">
      <c r="A3373" s="2">
        <v>3.43</v>
      </c>
    </row>
    <row r="3374" spans="1:1">
      <c r="A3374" s="2">
        <v>3.46</v>
      </c>
    </row>
    <row r="3375" spans="1:1">
      <c r="A3375" s="2">
        <v>3.52</v>
      </c>
    </row>
    <row r="3376" spans="1:1">
      <c r="A3376" s="2">
        <v>3.78</v>
      </c>
    </row>
    <row r="3377" spans="1:1">
      <c r="A3377" s="2">
        <v>3.52</v>
      </c>
    </row>
    <row r="3378" spans="1:1">
      <c r="A3378" s="2">
        <v>3.72</v>
      </c>
    </row>
    <row r="3379" spans="1:1">
      <c r="A3379" s="2">
        <v>3.52</v>
      </c>
    </row>
    <row r="3380" spans="1:1">
      <c r="A3380" s="2">
        <v>3.52</v>
      </c>
    </row>
    <row r="3381" spans="1:1">
      <c r="A3381" s="2">
        <v>3.52</v>
      </c>
    </row>
    <row r="3382" spans="1:1">
      <c r="A3382" s="2">
        <v>3.52</v>
      </c>
    </row>
    <row r="3383" spans="1:1">
      <c r="A3383" s="2">
        <v>3.78</v>
      </c>
    </row>
    <row r="3384" spans="1:1">
      <c r="A3384" s="2">
        <v>3.57</v>
      </c>
    </row>
    <row r="3385" spans="1:1">
      <c r="A3385" s="2">
        <v>3.6</v>
      </c>
    </row>
    <row r="3386" spans="1:1">
      <c r="A3386" s="2">
        <v>3.75</v>
      </c>
    </row>
    <row r="3387" spans="1:1">
      <c r="A3387" s="2">
        <v>3.57</v>
      </c>
    </row>
    <row r="3388" spans="1:1">
      <c r="A3388" s="2">
        <v>3.52</v>
      </c>
    </row>
    <row r="3389" spans="1:1">
      <c r="A3389" s="2">
        <v>3.65</v>
      </c>
    </row>
    <row r="3390" spans="1:1">
      <c r="A3390" s="2">
        <v>3.52</v>
      </c>
    </row>
    <row r="3391" spans="1:1">
      <c r="A3391" s="2">
        <v>3.52</v>
      </c>
    </row>
    <row r="3392" spans="1:1">
      <c r="A3392" s="2">
        <v>3.52</v>
      </c>
    </row>
    <row r="3393" spans="1:1">
      <c r="A3393" s="2">
        <v>3.52</v>
      </c>
    </row>
    <row r="3394" spans="1:1">
      <c r="A3394" s="2">
        <v>3.65</v>
      </c>
    </row>
    <row r="3395" spans="1:1">
      <c r="A3395" s="2">
        <v>3.75</v>
      </c>
    </row>
    <row r="3396" spans="1:1">
      <c r="A3396" s="2">
        <v>3.57</v>
      </c>
    </row>
    <row r="3397" spans="1:1">
      <c r="A3397" s="2">
        <v>3.74</v>
      </c>
    </row>
    <row r="3398" spans="1:1">
      <c r="A3398" s="2">
        <v>3.46</v>
      </c>
    </row>
    <row r="3399" spans="1:1">
      <c r="A3399" s="2">
        <v>3.52</v>
      </c>
    </row>
    <row r="3400" spans="1:1">
      <c r="A3400" s="2">
        <v>3.63</v>
      </c>
    </row>
    <row r="3401" spans="1:1">
      <c r="A3401" s="2">
        <v>3.58</v>
      </c>
    </row>
    <row r="3402" spans="1:1">
      <c r="A3402" s="2">
        <v>3.52</v>
      </c>
    </row>
    <row r="3403" spans="1:1">
      <c r="A3403" s="2">
        <v>3.78</v>
      </c>
    </row>
    <row r="3404" spans="1:1">
      <c r="A3404" s="2">
        <v>3.52</v>
      </c>
    </row>
    <row r="3405" spans="1:1">
      <c r="A3405" s="2">
        <v>3.52</v>
      </c>
    </row>
    <row r="3406" spans="1:1">
      <c r="A3406" s="2">
        <v>3.72</v>
      </c>
    </row>
    <row r="3407" spans="1:1">
      <c r="A3407" s="2">
        <v>3.52</v>
      </c>
    </row>
    <row r="3408" spans="1:1">
      <c r="A3408" s="2">
        <v>3.78</v>
      </c>
    </row>
    <row r="3409" spans="1:1">
      <c r="A3409" s="2">
        <v>3.52</v>
      </c>
    </row>
    <row r="3410" spans="1:1">
      <c r="A3410" s="2">
        <v>3.52</v>
      </c>
    </row>
    <row r="3411" spans="1:1">
      <c r="A3411" s="2">
        <v>3.55</v>
      </c>
    </row>
    <row r="3412" spans="1:1">
      <c r="A3412" s="2">
        <v>3.73</v>
      </c>
    </row>
    <row r="3413" spans="1:1">
      <c r="A3413" s="2">
        <v>3.74</v>
      </c>
    </row>
    <row r="3414" spans="1:1">
      <c r="A3414" s="2">
        <v>3.52</v>
      </c>
    </row>
    <row r="3415" spans="1:1">
      <c r="A3415" s="2">
        <v>3.7</v>
      </c>
    </row>
    <row r="3416" spans="1:1">
      <c r="A3416" s="2">
        <v>3.63</v>
      </c>
    </row>
    <row r="3417" spans="1:1">
      <c r="A3417" s="2">
        <v>3.59</v>
      </c>
    </row>
    <row r="3418" spans="1:1">
      <c r="A3418" s="2">
        <v>3.58</v>
      </c>
    </row>
    <row r="3419" spans="1:1">
      <c r="A3419" s="2">
        <v>3.52</v>
      </c>
    </row>
    <row r="3420" spans="1:1">
      <c r="A3420" s="2">
        <v>3.5</v>
      </c>
    </row>
    <row r="3421" spans="1:1">
      <c r="A3421" s="2">
        <v>3.62</v>
      </c>
    </row>
    <row r="3422" spans="1:1">
      <c r="A3422" s="2">
        <v>3.56</v>
      </c>
    </row>
    <row r="3423" spans="1:1">
      <c r="A3423" s="2">
        <v>3.42</v>
      </c>
    </row>
    <row r="3424" spans="1:1">
      <c r="A3424" s="2">
        <v>3.52</v>
      </c>
    </row>
    <row r="3425" spans="1:1">
      <c r="A3425" s="2">
        <v>3.64</v>
      </c>
    </row>
    <row r="3426" spans="1:1">
      <c r="A3426" s="2">
        <v>3.74</v>
      </c>
    </row>
    <row r="3427" spans="1:1">
      <c r="A3427" s="2">
        <v>3.64</v>
      </c>
    </row>
    <row r="3428" spans="1:1">
      <c r="A3428" s="2">
        <v>3.46</v>
      </c>
    </row>
    <row r="3429" spans="1:1">
      <c r="A3429" s="2">
        <v>3.49</v>
      </c>
    </row>
    <row r="3430" spans="1:1">
      <c r="A3430" s="2">
        <v>3.66</v>
      </c>
    </row>
    <row r="3431" spans="1:1">
      <c r="A3431" s="2">
        <v>3.49</v>
      </c>
    </row>
    <row r="3432" spans="1:1">
      <c r="A3432" s="2">
        <v>3.52</v>
      </c>
    </row>
    <row r="3433" spans="1:1">
      <c r="A3433" s="2">
        <v>3.45</v>
      </c>
    </row>
    <row r="3434" spans="1:1">
      <c r="A3434" s="2">
        <v>3.52</v>
      </c>
    </row>
    <row r="3435" spans="1:1">
      <c r="A3435" s="2">
        <v>3.79</v>
      </c>
    </row>
    <row r="3436" spans="1:1">
      <c r="A3436" s="2">
        <v>3.51</v>
      </c>
    </row>
    <row r="3437" spans="1:1">
      <c r="A3437" s="2">
        <v>3.52</v>
      </c>
    </row>
    <row r="3438" spans="1:1">
      <c r="A3438" s="2">
        <v>3.52</v>
      </c>
    </row>
    <row r="3439" spans="1:1">
      <c r="A3439" s="2">
        <v>3.52</v>
      </c>
    </row>
    <row r="3440" spans="1:1">
      <c r="A3440" s="2">
        <v>3.63</v>
      </c>
    </row>
    <row r="3441" spans="1:1">
      <c r="A3441" s="2">
        <v>3.57</v>
      </c>
    </row>
    <row r="3442" spans="1:1">
      <c r="A3442" s="2">
        <v>3.52</v>
      </c>
    </row>
    <row r="3443" spans="1:1">
      <c r="A3443" s="2">
        <v>3.52</v>
      </c>
    </row>
    <row r="3444" spans="1:1">
      <c r="A3444" s="2">
        <v>3.52</v>
      </c>
    </row>
    <row r="3445" spans="1:1">
      <c r="A3445" s="2">
        <v>3.61</v>
      </c>
    </row>
    <row r="3446" spans="1:1">
      <c r="A3446" s="2">
        <v>3.79</v>
      </c>
    </row>
    <row r="3447" spans="1:1">
      <c r="A3447" s="2">
        <v>3.52</v>
      </c>
    </row>
    <row r="3448" spans="1:1">
      <c r="A3448" s="2">
        <v>3.61</v>
      </c>
    </row>
    <row r="3449" spans="1:1">
      <c r="A3449" s="2">
        <v>3.78</v>
      </c>
    </row>
    <row r="3450" spans="1:1">
      <c r="A3450" s="2">
        <v>3.52</v>
      </c>
    </row>
    <row r="3451" spans="1:1">
      <c r="A3451" s="2">
        <v>3.77</v>
      </c>
    </row>
    <row r="3452" spans="1:1">
      <c r="A3452" s="2">
        <v>3.51</v>
      </c>
    </row>
    <row r="3453" spans="1:1">
      <c r="A3453" s="2">
        <v>3.82</v>
      </c>
    </row>
    <row r="3454" spans="1:1">
      <c r="A3454" s="2">
        <v>3.7</v>
      </c>
    </row>
    <row r="3455" spans="1:1">
      <c r="A3455" s="2">
        <v>3.46</v>
      </c>
    </row>
    <row r="3456" spans="1:1">
      <c r="A3456" s="2">
        <v>3.52</v>
      </c>
    </row>
    <row r="3457" spans="1:1">
      <c r="A3457" s="2">
        <v>3.52</v>
      </c>
    </row>
    <row r="3458" spans="1:1">
      <c r="A3458" s="2">
        <v>3.45</v>
      </c>
    </row>
    <row r="3459" spans="1:1">
      <c r="A3459" s="2">
        <v>3.5</v>
      </c>
    </row>
    <row r="3460" spans="1:1">
      <c r="A3460" s="2">
        <v>3.43</v>
      </c>
    </row>
    <row r="3461" spans="1:1">
      <c r="A3461" s="2">
        <v>3.52</v>
      </c>
    </row>
    <row r="3462" spans="1:1">
      <c r="A3462" s="2">
        <v>3.61</v>
      </c>
    </row>
    <row r="3463" spans="1:1">
      <c r="A3463" s="2">
        <v>3.47</v>
      </c>
    </row>
    <row r="3464" spans="1:1">
      <c r="A3464" s="2">
        <v>3.52</v>
      </c>
    </row>
    <row r="3465" spans="1:1">
      <c r="A3465" s="2">
        <v>3.75</v>
      </c>
    </row>
    <row r="3466" spans="1:1">
      <c r="A3466" s="2">
        <v>3.52</v>
      </c>
    </row>
    <row r="3467" spans="1:1">
      <c r="A3467" s="2">
        <v>3.77</v>
      </c>
    </row>
    <row r="3468" spans="1:1">
      <c r="A3468" s="2">
        <v>3.44</v>
      </c>
    </row>
    <row r="3469" spans="1:1">
      <c r="A3469" s="2">
        <v>3.51</v>
      </c>
    </row>
    <row r="3470" spans="1:1">
      <c r="A3470" s="2">
        <v>3.52</v>
      </c>
    </row>
    <row r="3471" spans="1:1">
      <c r="A3471" s="2">
        <v>3.65</v>
      </c>
    </row>
    <row r="3472" spans="1:1">
      <c r="A3472" s="2">
        <v>3.52</v>
      </c>
    </row>
    <row r="3473" spans="1:1">
      <c r="A3473" s="2">
        <v>3.52</v>
      </c>
    </row>
    <row r="3474" spans="1:1">
      <c r="A3474" s="2">
        <v>3.51</v>
      </c>
    </row>
    <row r="3475" spans="1:1">
      <c r="A3475" s="2">
        <v>3.43</v>
      </c>
    </row>
    <row r="3476" spans="1:1">
      <c r="A3476" s="2">
        <v>3.52</v>
      </c>
    </row>
    <row r="3477" spans="1:1">
      <c r="A3477" s="2">
        <v>3.73</v>
      </c>
    </row>
    <row r="3478" spans="1:1">
      <c r="A3478" s="2">
        <v>3.52</v>
      </c>
    </row>
    <row r="3479" spans="1:1">
      <c r="A3479" s="2">
        <v>3.43</v>
      </c>
    </row>
    <row r="3480" spans="1:1">
      <c r="A3480" s="2">
        <v>3.51</v>
      </c>
    </row>
    <row r="3481" spans="1:1">
      <c r="A3481" s="2">
        <v>3.69</v>
      </c>
    </row>
    <row r="3482" spans="1:1">
      <c r="A3482" s="2">
        <v>3.52</v>
      </c>
    </row>
    <row r="3483" spans="1:1">
      <c r="A3483" s="2">
        <v>3.55</v>
      </c>
    </row>
    <row r="3484" spans="1:1">
      <c r="A3484" s="2">
        <v>3.76</v>
      </c>
    </row>
    <row r="3485" spans="1:1">
      <c r="A3485" s="2">
        <v>3.76</v>
      </c>
    </row>
    <row r="3486" spans="1:1">
      <c r="A3486" s="2">
        <v>3.67</v>
      </c>
    </row>
    <row r="3487" spans="1:1">
      <c r="A3487" s="2">
        <v>3.62</v>
      </c>
    </row>
    <row r="3488" spans="1:1">
      <c r="A3488" s="2">
        <v>3.75</v>
      </c>
    </row>
    <row r="3489" spans="1:1">
      <c r="A3489" s="2">
        <v>3.78</v>
      </c>
    </row>
    <row r="3490" spans="1:1">
      <c r="A3490" s="2">
        <v>3.41</v>
      </c>
    </row>
    <row r="3491" spans="1:1">
      <c r="A3491" s="2">
        <v>3.76</v>
      </c>
    </row>
    <row r="3492" spans="1:1">
      <c r="A3492" s="2">
        <v>3.52</v>
      </c>
    </row>
    <row r="3493" spans="1:1">
      <c r="A3493" s="2">
        <v>3.45</v>
      </c>
    </row>
    <row r="3494" spans="1:1">
      <c r="A3494" s="2">
        <v>3.49</v>
      </c>
    </row>
    <row r="3495" spans="1:1">
      <c r="A3495" s="2">
        <v>3.54</v>
      </c>
    </row>
    <row r="3496" spans="1:1">
      <c r="A3496" s="2">
        <v>3.77</v>
      </c>
    </row>
    <row r="3497" spans="1:1">
      <c r="A3497" s="2">
        <v>3.52</v>
      </c>
    </row>
    <row r="3498" spans="1:1">
      <c r="A3498" s="2">
        <v>3.57</v>
      </c>
    </row>
    <row r="3499" spans="1:1">
      <c r="A3499" s="2">
        <v>3.59</v>
      </c>
    </row>
    <row r="3500" spans="1:1">
      <c r="A3500" s="2">
        <v>3.65</v>
      </c>
    </row>
    <row r="3501" spans="1:1">
      <c r="A3501" s="2">
        <v>3.52</v>
      </c>
    </row>
    <row r="3502" spans="1:1">
      <c r="A3502" s="2">
        <v>3.8</v>
      </c>
    </row>
    <row r="3503" spans="1:1">
      <c r="A3503" s="2">
        <v>3.8</v>
      </c>
    </row>
    <row r="3504" spans="1:1">
      <c r="A3504" s="2">
        <v>3.74</v>
      </c>
    </row>
    <row r="3505" spans="1:1">
      <c r="A3505" s="2">
        <v>3.71</v>
      </c>
    </row>
    <row r="3506" spans="1:1">
      <c r="A3506" s="2">
        <v>3.73</v>
      </c>
    </row>
    <row r="3507" spans="1:1">
      <c r="A3507" s="2">
        <v>3.43</v>
      </c>
    </row>
    <row r="3508" spans="1:1">
      <c r="A3508" s="2">
        <v>3.76</v>
      </c>
    </row>
    <row r="3509" spans="1:1">
      <c r="A3509" s="2">
        <v>3.76</v>
      </c>
    </row>
    <row r="3510" spans="1:1">
      <c r="A3510" s="2">
        <v>3.52</v>
      </c>
    </row>
    <row r="3511" spans="1:1">
      <c r="A3511" s="2">
        <v>3.59</v>
      </c>
    </row>
    <row r="3512" spans="1:1">
      <c r="A3512" s="2">
        <v>3.51</v>
      </c>
    </row>
    <row r="3513" spans="1:1">
      <c r="A3513" s="2">
        <v>3.78</v>
      </c>
    </row>
    <row r="3514" spans="1:1">
      <c r="A3514" s="2">
        <v>3.52</v>
      </c>
    </row>
    <row r="3515" spans="1:1">
      <c r="A3515" s="2">
        <v>3.52</v>
      </c>
    </row>
    <row r="3516" spans="1:1">
      <c r="A3516" s="2">
        <v>3.44</v>
      </c>
    </row>
    <row r="3517" spans="1:1">
      <c r="A3517" s="2">
        <v>3.72</v>
      </c>
    </row>
    <row r="3518" spans="1:1">
      <c r="A3518" s="2">
        <v>3.52</v>
      </c>
    </row>
    <row r="3519" spans="1:1">
      <c r="A3519" s="2">
        <v>3.58</v>
      </c>
    </row>
    <row r="3520" spans="1:1">
      <c r="A3520" s="2">
        <v>3.7</v>
      </c>
    </row>
    <row r="3521" spans="1:1">
      <c r="A3521" s="2">
        <v>3.52</v>
      </c>
    </row>
    <row r="3522" spans="1:1">
      <c r="A3522" s="2">
        <v>3.51</v>
      </c>
    </row>
    <row r="3523" spans="1:1">
      <c r="A3523" s="2">
        <v>3.51</v>
      </c>
    </row>
    <row r="3524" spans="1:1">
      <c r="A3524" s="2">
        <v>3.75</v>
      </c>
    </row>
    <row r="3525" spans="1:1">
      <c r="A3525" s="2">
        <v>3.52</v>
      </c>
    </row>
    <row r="3526" spans="1:1">
      <c r="A3526" s="2">
        <v>3.52</v>
      </c>
    </row>
    <row r="3527" spans="1:1">
      <c r="A3527" s="2">
        <v>3.52</v>
      </c>
    </row>
    <row r="3528" spans="1:1">
      <c r="A3528" s="2">
        <v>3.72</v>
      </c>
    </row>
    <row r="3529" spans="1:1">
      <c r="A3529" s="2">
        <v>3.73</v>
      </c>
    </row>
    <row r="3530" spans="1:1">
      <c r="A3530" s="2">
        <v>3.52</v>
      </c>
    </row>
    <row r="3531" spans="1:1">
      <c r="A3531" s="2">
        <v>3.55</v>
      </c>
    </row>
    <row r="3532" spans="1:1">
      <c r="A3532" s="2">
        <v>3.51</v>
      </c>
    </row>
    <row r="3533" spans="1:1">
      <c r="A3533" s="2">
        <v>3.52</v>
      </c>
    </row>
    <row r="3534" spans="1:1">
      <c r="A3534" s="2">
        <v>3.52</v>
      </c>
    </row>
    <row r="3535" spans="1:1">
      <c r="A3535" s="2">
        <v>3.52</v>
      </c>
    </row>
    <row r="3536" spans="1:1">
      <c r="A3536" s="2">
        <v>3.48</v>
      </c>
    </row>
    <row r="3537" spans="1:1">
      <c r="A3537" s="2">
        <v>3.73</v>
      </c>
    </row>
    <row r="3538" spans="1:1">
      <c r="A3538" s="2">
        <v>3.62</v>
      </c>
    </row>
    <row r="3539" spans="1:1">
      <c r="A3539" s="2">
        <v>3.43</v>
      </c>
    </row>
    <row r="3540" spans="1:1">
      <c r="A3540" s="2">
        <v>3.52</v>
      </c>
    </row>
    <row r="3541" spans="1:1">
      <c r="A3541" s="2">
        <v>3.71</v>
      </c>
    </row>
    <row r="3542" spans="1:1">
      <c r="A3542" s="2">
        <v>3.52</v>
      </c>
    </row>
    <row r="3543" spans="1:1">
      <c r="A3543" s="2">
        <v>3.56</v>
      </c>
    </row>
    <row r="3544" spans="1:1">
      <c r="A3544" s="2">
        <v>3.52</v>
      </c>
    </row>
    <row r="3545" spans="1:1">
      <c r="A3545" s="2">
        <v>3.51</v>
      </c>
    </row>
    <row r="3546" spans="1:1">
      <c r="A3546" s="2">
        <v>3.52</v>
      </c>
    </row>
    <row r="3547" spans="1:1">
      <c r="A3547" s="2">
        <v>3.78</v>
      </c>
    </row>
    <row r="3548" spans="1:1">
      <c r="A3548" s="2">
        <v>3.57</v>
      </c>
    </row>
    <row r="3549" spans="1:1">
      <c r="A3549" s="2">
        <v>3.52</v>
      </c>
    </row>
    <row r="3550" spans="1:1">
      <c r="A3550" s="2">
        <v>3.61</v>
      </c>
    </row>
    <row r="3551" spans="1:1">
      <c r="A3551" s="2">
        <v>3.63</v>
      </c>
    </row>
    <row r="3552" spans="1:1">
      <c r="A3552" s="2">
        <v>3.66</v>
      </c>
    </row>
    <row r="3553" spans="1:1">
      <c r="A3553" s="2">
        <v>3.78</v>
      </c>
    </row>
    <row r="3554" spans="1:1">
      <c r="A3554" s="2">
        <v>3.52</v>
      </c>
    </row>
    <row r="3555" spans="1:1">
      <c r="A3555" s="2">
        <v>3.52</v>
      </c>
    </row>
    <row r="3556" spans="1:1">
      <c r="A3556" s="2">
        <v>3.51</v>
      </c>
    </row>
    <row r="3557" spans="1:1">
      <c r="A3557" s="2">
        <v>3.7</v>
      </c>
    </row>
    <row r="3558" spans="1:1">
      <c r="A3558" s="2">
        <v>3.57</v>
      </c>
    </row>
    <row r="3559" spans="1:1">
      <c r="A3559" s="2">
        <v>3.5</v>
      </c>
    </row>
    <row r="3560" spans="1:1">
      <c r="A3560" s="2">
        <v>3.73</v>
      </c>
    </row>
    <row r="3561" spans="1:1">
      <c r="A3561" s="2">
        <v>3.52</v>
      </c>
    </row>
    <row r="3562" spans="1:1">
      <c r="A3562" s="2">
        <v>3.67</v>
      </c>
    </row>
    <row r="3563" spans="1:1">
      <c r="A3563" s="2">
        <v>3.78</v>
      </c>
    </row>
    <row r="3564" spans="1:1">
      <c r="A3564" s="2">
        <v>3.44</v>
      </c>
    </row>
    <row r="3565" spans="1:1">
      <c r="A3565" s="2">
        <v>3.52</v>
      </c>
    </row>
    <row r="3566" spans="1:1">
      <c r="A3566" s="2">
        <v>3.64</v>
      </c>
    </row>
    <row r="3567" spans="1:1">
      <c r="A3567" s="2">
        <v>3.52</v>
      </c>
    </row>
    <row r="3568" spans="1:1">
      <c r="A3568" s="2">
        <v>3.73</v>
      </c>
    </row>
    <row r="3569" spans="1:1">
      <c r="A3569" s="2">
        <v>3.46</v>
      </c>
    </row>
    <row r="3570" spans="1:1">
      <c r="A3570" s="2">
        <v>3.49</v>
      </c>
    </row>
    <row r="3571" spans="1:1">
      <c r="A3571" s="2">
        <v>3.62</v>
      </c>
    </row>
    <row r="3572" spans="1:1">
      <c r="A3572" s="2">
        <v>3.52</v>
      </c>
    </row>
    <row r="3573" spans="1:1">
      <c r="A3573" s="2">
        <v>3.69</v>
      </c>
    </row>
    <row r="3574" spans="1:1">
      <c r="A3574" s="2">
        <v>3.5</v>
      </c>
    </row>
    <row r="3575" spans="1:1">
      <c r="A3575" s="2">
        <v>3.43</v>
      </c>
    </row>
    <row r="3576" spans="1:1">
      <c r="A3576" s="2">
        <v>3.65</v>
      </c>
    </row>
    <row r="3577" spans="1:1">
      <c r="A3577" s="2">
        <v>3.52</v>
      </c>
    </row>
    <row r="3578" spans="1:1">
      <c r="A3578" s="2">
        <v>3.6</v>
      </c>
    </row>
    <row r="3579" spans="1:1">
      <c r="A3579" s="2">
        <v>3.49</v>
      </c>
    </row>
    <row r="3580" spans="1:1">
      <c r="A3580" s="2">
        <v>3.78</v>
      </c>
    </row>
    <row r="3581" spans="1:1">
      <c r="A3581" s="2">
        <v>3.52</v>
      </c>
    </row>
    <row r="3582" spans="1:1">
      <c r="A3582" s="2">
        <v>3.7</v>
      </c>
    </row>
    <row r="3583" spans="1:1">
      <c r="A3583" s="2">
        <v>3.52</v>
      </c>
    </row>
    <row r="3584" spans="1:1">
      <c r="A3584" s="2">
        <v>3.76</v>
      </c>
    </row>
    <row r="3585" spans="1:1">
      <c r="A3585" s="2">
        <v>3.52</v>
      </c>
    </row>
    <row r="3586" spans="1:1">
      <c r="A3586" s="2">
        <v>3.68</v>
      </c>
    </row>
    <row r="3587" spans="1:1">
      <c r="A3587" s="2">
        <v>3.52</v>
      </c>
    </row>
    <row r="3588" spans="1:1">
      <c r="A3588" s="2">
        <v>3.82</v>
      </c>
    </row>
    <row r="3589" spans="1:1">
      <c r="A3589" s="2">
        <v>3.52</v>
      </c>
    </row>
    <row r="3590" spans="1:1">
      <c r="A3590" s="2">
        <v>3.52</v>
      </c>
    </row>
    <row r="3591" spans="1:1">
      <c r="A3591" s="2">
        <v>3.47</v>
      </c>
    </row>
    <row r="3592" spans="1:1">
      <c r="A3592" s="2">
        <v>3.52</v>
      </c>
    </row>
    <row r="3593" spans="1:1">
      <c r="A3593" s="2">
        <v>3.52</v>
      </c>
    </row>
    <row r="3594" spans="1:1">
      <c r="A3594" s="2">
        <v>3.47</v>
      </c>
    </row>
    <row r="3595" spans="1:1">
      <c r="A3595" s="2">
        <v>3.64</v>
      </c>
    </row>
    <row r="3596" spans="1:1">
      <c r="A3596" s="2">
        <v>3.52</v>
      </c>
    </row>
    <row r="3597" spans="1:1">
      <c r="A3597" s="2">
        <v>3.52</v>
      </c>
    </row>
    <row r="3598" spans="1:1">
      <c r="A3598" s="2">
        <v>3.52</v>
      </c>
    </row>
    <row r="3599" spans="1:1">
      <c r="A3599" s="2">
        <v>3.77</v>
      </c>
    </row>
    <row r="3600" spans="1:1">
      <c r="A3600" s="2">
        <v>3.48</v>
      </c>
    </row>
    <row r="3601" spans="1:1">
      <c r="A3601" s="2">
        <v>3.61</v>
      </c>
    </row>
    <row r="3602" spans="1:1">
      <c r="A3602" s="2">
        <v>3.51</v>
      </c>
    </row>
    <row r="3603" spans="1:1">
      <c r="A3603" s="2">
        <v>3.78</v>
      </c>
    </row>
    <row r="3604" spans="1:1">
      <c r="A3604" s="2">
        <v>3.52</v>
      </c>
    </row>
    <row r="3605" spans="1:1">
      <c r="A3605" s="2">
        <v>3.54</v>
      </c>
    </row>
    <row r="3606" spans="1:1">
      <c r="A3606" s="2">
        <v>3.78</v>
      </c>
    </row>
    <row r="3607" spans="1:1">
      <c r="A3607" s="2">
        <v>3.78</v>
      </c>
    </row>
    <row r="3608" spans="1:1">
      <c r="A3608" s="2">
        <v>3.52</v>
      </c>
    </row>
    <row r="3609" spans="1:1">
      <c r="A3609" s="2">
        <v>3.6</v>
      </c>
    </row>
    <row r="3610" spans="1:1">
      <c r="A3610" s="2">
        <v>3.52</v>
      </c>
    </row>
    <row r="3611" spans="1:1">
      <c r="A3611" s="2">
        <v>3.47</v>
      </c>
    </row>
    <row r="3612" spans="1:1">
      <c r="A3612" s="2">
        <v>3.51</v>
      </c>
    </row>
    <row r="3613" spans="1:1">
      <c r="A3613" s="2">
        <v>3.52</v>
      </c>
    </row>
    <row r="3614" spans="1:1">
      <c r="A3614" s="2">
        <v>3.52</v>
      </c>
    </row>
    <row r="3615" spans="1:1">
      <c r="A3615" s="2">
        <v>3.78</v>
      </c>
    </row>
    <row r="3616" spans="1:1">
      <c r="A3616" s="2">
        <v>3.52</v>
      </c>
    </row>
    <row r="3617" spans="1:1">
      <c r="A3617" s="2">
        <v>3.43</v>
      </c>
    </row>
    <row r="3618" spans="1:1">
      <c r="A3618" s="2">
        <v>3.59</v>
      </c>
    </row>
    <row r="3619" spans="1:1">
      <c r="A3619" s="2">
        <v>3.52</v>
      </c>
    </row>
    <row r="3620" spans="1:1">
      <c r="A3620" s="2">
        <v>3.52</v>
      </c>
    </row>
    <row r="3621" spans="1:1">
      <c r="A3621" s="2">
        <v>3.48</v>
      </c>
    </row>
    <row r="3622" spans="1:1">
      <c r="A3622" s="2">
        <v>3.52</v>
      </c>
    </row>
    <row r="3623" spans="1:1">
      <c r="A3623" s="2">
        <v>3.52</v>
      </c>
    </row>
    <row r="3624" spans="1:1">
      <c r="A3624" s="2">
        <v>3.74</v>
      </c>
    </row>
    <row r="3625" spans="1:1">
      <c r="A3625" s="2">
        <v>3.52</v>
      </c>
    </row>
    <row r="3626" spans="1:1">
      <c r="A3626" s="2">
        <v>3.78</v>
      </c>
    </row>
    <row r="3627" spans="1:1">
      <c r="A3627" s="2">
        <v>3.52</v>
      </c>
    </row>
    <row r="3628" spans="1:1">
      <c r="A3628" s="2">
        <v>3.52</v>
      </c>
    </row>
    <row r="3629" spans="1:1">
      <c r="A3629" s="2">
        <v>3.59</v>
      </c>
    </row>
    <row r="3630" spans="1:1">
      <c r="A3630" s="2">
        <v>3.52</v>
      </c>
    </row>
    <row r="3631" spans="1:1">
      <c r="A3631" s="2">
        <v>3.52</v>
      </c>
    </row>
    <row r="3632" spans="1:1">
      <c r="A3632" s="2">
        <v>3.52</v>
      </c>
    </row>
    <row r="3633" spans="1:1">
      <c r="A3633" s="2">
        <v>3.51</v>
      </c>
    </row>
    <row r="3634" spans="1:1">
      <c r="A3634" s="2">
        <v>3.78</v>
      </c>
    </row>
    <row r="3635" spans="1:1">
      <c r="A3635" s="2">
        <v>3.52</v>
      </c>
    </row>
    <row r="3636" spans="1:1">
      <c r="A3636" s="2">
        <v>3.52</v>
      </c>
    </row>
    <row r="3637" spans="1:1">
      <c r="A3637" s="2">
        <v>3.77</v>
      </c>
    </row>
    <row r="3638" spans="1:1">
      <c r="A3638" s="2">
        <v>3.57</v>
      </c>
    </row>
    <row r="3639" spans="1:1">
      <c r="A3639" s="2">
        <v>3.51</v>
      </c>
    </row>
    <row r="3640" spans="1:1">
      <c r="A3640" s="2">
        <v>3.42</v>
      </c>
    </row>
    <row r="3641" spans="1:1">
      <c r="A3641" s="2">
        <v>3.52</v>
      </c>
    </row>
    <row r="3642" spans="1:1">
      <c r="A3642" s="2">
        <v>3.52</v>
      </c>
    </row>
    <row r="3643" spans="1:1">
      <c r="A3643" s="2">
        <v>3.52</v>
      </c>
    </row>
    <row r="3644" spans="1:1">
      <c r="A3644" s="2">
        <v>3.52</v>
      </c>
    </row>
    <row r="3645" spans="1:1">
      <c r="A3645" s="2">
        <v>3.52</v>
      </c>
    </row>
    <row r="3646" spans="1:1">
      <c r="A3646" s="2">
        <v>3.52</v>
      </c>
    </row>
    <row r="3647" spans="1:1">
      <c r="A3647" s="2">
        <v>3.77</v>
      </c>
    </row>
    <row r="3648" spans="1:1">
      <c r="A3648" s="2">
        <v>3.56</v>
      </c>
    </row>
    <row r="3649" spans="1:1">
      <c r="A3649" s="2">
        <v>3.52</v>
      </c>
    </row>
    <row r="3650" spans="1:1">
      <c r="A3650" s="2">
        <v>3.49</v>
      </c>
    </row>
    <row r="3651" spans="1:1">
      <c r="A3651" s="2">
        <v>3.52</v>
      </c>
    </row>
    <row r="3652" spans="1:1">
      <c r="A3652" s="2">
        <v>3.52</v>
      </c>
    </row>
    <row r="3653" spans="1:1">
      <c r="A3653" s="2">
        <v>3.45</v>
      </c>
    </row>
    <row r="3654" spans="1:1">
      <c r="A3654" s="2">
        <v>3.41</v>
      </c>
    </row>
    <row r="3655" spans="1:1">
      <c r="A3655" s="2">
        <v>3.52</v>
      </c>
    </row>
    <row r="3656" spans="1:1">
      <c r="A3656" s="2">
        <v>3.66</v>
      </c>
    </row>
    <row r="3657" spans="1:1">
      <c r="A3657" s="2">
        <v>3.52</v>
      </c>
    </row>
    <row r="3658" spans="1:1">
      <c r="A3658" s="2">
        <v>3.52</v>
      </c>
    </row>
    <row r="3659" spans="1:1">
      <c r="A3659" s="2">
        <v>3.44</v>
      </c>
    </row>
    <row r="3660" spans="1:1">
      <c r="A3660" s="2">
        <v>3.52</v>
      </c>
    </row>
    <row r="3661" spans="1:1">
      <c r="A3661" s="2">
        <v>3.52</v>
      </c>
    </row>
    <row r="3662" spans="1:1">
      <c r="A3662" s="2">
        <v>3.5</v>
      </c>
    </row>
    <row r="3663" spans="1:1">
      <c r="A3663" s="2">
        <v>3.52</v>
      </c>
    </row>
    <row r="3664" spans="1:1">
      <c r="A3664" s="2">
        <v>3.56</v>
      </c>
    </row>
    <row r="3665" spans="1:1">
      <c r="A3665" s="2">
        <v>3.45</v>
      </c>
    </row>
    <row r="3666" spans="1:1">
      <c r="A3666" s="2">
        <v>3.52</v>
      </c>
    </row>
    <row r="3667" spans="1:1">
      <c r="A3667" s="2">
        <v>3.47</v>
      </c>
    </row>
    <row r="3668" spans="1:1">
      <c r="A3668" s="2">
        <v>3.52</v>
      </c>
    </row>
    <row r="3669" spans="1:1">
      <c r="A3669" s="2">
        <v>3.59</v>
      </c>
    </row>
    <row r="3670" spans="1:1">
      <c r="A3670" s="2">
        <v>3.46</v>
      </c>
    </row>
    <row r="3671" spans="1:1">
      <c r="A3671" s="2">
        <v>3.57</v>
      </c>
    </row>
    <row r="3672" spans="1:1">
      <c r="A3672" s="2">
        <v>3.51</v>
      </c>
    </row>
    <row r="3673" spans="1:1">
      <c r="A3673" s="2">
        <v>3.69</v>
      </c>
    </row>
    <row r="3674" spans="1:1">
      <c r="A3674" s="2">
        <v>3.53</v>
      </c>
    </row>
    <row r="3675" spans="1:1">
      <c r="A3675" s="2">
        <v>3.52</v>
      </c>
    </row>
    <row r="3676" spans="1:1">
      <c r="A3676" s="2">
        <v>3.71</v>
      </c>
    </row>
    <row r="3677" spans="1:1">
      <c r="A3677" s="2">
        <v>3.52</v>
      </c>
    </row>
    <row r="3678" spans="1:1">
      <c r="A3678" s="2">
        <v>3.52</v>
      </c>
    </row>
    <row r="3679" spans="1:1">
      <c r="A3679" s="2">
        <v>3.65</v>
      </c>
    </row>
    <row r="3680" spans="1:1">
      <c r="A3680" s="2">
        <v>3.44</v>
      </c>
    </row>
    <row r="3681" spans="1:1">
      <c r="A3681" s="2">
        <v>3.52</v>
      </c>
    </row>
    <row r="3682" spans="1:1">
      <c r="A3682" s="2">
        <v>3.78</v>
      </c>
    </row>
    <row r="3683" spans="1:1">
      <c r="A3683" s="2">
        <v>3.55</v>
      </c>
    </row>
    <row r="3684" spans="1:1">
      <c r="A3684" s="2">
        <v>3.52</v>
      </c>
    </row>
    <row r="3685" spans="1:1">
      <c r="A3685" s="2">
        <v>3.52</v>
      </c>
    </row>
    <row r="3686" spans="1:1">
      <c r="A3686" s="2">
        <v>3.54</v>
      </c>
    </row>
    <row r="3687" spans="1:1">
      <c r="A3687" s="2">
        <v>3.42</v>
      </c>
    </row>
    <row r="3688" spans="1:1">
      <c r="A3688" s="2">
        <v>3.52</v>
      </c>
    </row>
    <row r="3689" spans="1:1">
      <c r="A3689" s="2">
        <v>3.52</v>
      </c>
    </row>
    <row r="3690" spans="1:1">
      <c r="A3690" s="2">
        <v>3.53</v>
      </c>
    </row>
    <row r="3691" spans="1:1">
      <c r="A3691" s="2">
        <v>3.54</v>
      </c>
    </row>
    <row r="3692" spans="1:1">
      <c r="A3692" s="2">
        <v>3.52</v>
      </c>
    </row>
    <row r="3693" spans="1:1">
      <c r="A3693" s="2">
        <v>3.51</v>
      </c>
    </row>
    <row r="3694" spans="1:1">
      <c r="A3694" s="2">
        <v>3.52</v>
      </c>
    </row>
    <row r="3695" spans="1:1">
      <c r="A3695" s="2">
        <v>3.79</v>
      </c>
    </row>
    <row r="3696" spans="1:1">
      <c r="A3696" s="2">
        <v>3.73</v>
      </c>
    </row>
    <row r="3697" spans="1:1">
      <c r="A3697" s="2">
        <v>3.52</v>
      </c>
    </row>
    <row r="3698" spans="1:1">
      <c r="A3698" s="2">
        <v>3.52</v>
      </c>
    </row>
    <row r="3699" spans="1:1">
      <c r="A3699" s="2">
        <v>3.52</v>
      </c>
    </row>
    <row r="3700" spans="1:1">
      <c r="A3700" s="2">
        <v>3.52</v>
      </c>
    </row>
    <row r="3701" spans="1:1">
      <c r="A3701" s="2">
        <v>3.52</v>
      </c>
    </row>
    <row r="3702" spans="1:1">
      <c r="A3702" s="2">
        <v>3.77</v>
      </c>
    </row>
    <row r="3703" spans="1:1">
      <c r="A3703" s="2">
        <v>3.52</v>
      </c>
    </row>
    <row r="3704" spans="1:1">
      <c r="A3704" s="2">
        <v>3.51</v>
      </c>
    </row>
    <row r="3705" spans="1:1">
      <c r="A3705" s="2">
        <v>3.56</v>
      </c>
    </row>
    <row r="3706" spans="1:1">
      <c r="A3706" s="2">
        <v>3.52</v>
      </c>
    </row>
    <row r="3707" spans="1:1">
      <c r="A3707" s="2">
        <v>3.52</v>
      </c>
    </row>
    <row r="3708" spans="1:1">
      <c r="A3708" s="2">
        <v>3.51</v>
      </c>
    </row>
    <row r="3709" spans="1:1">
      <c r="A3709" s="2">
        <v>3.78</v>
      </c>
    </row>
    <row r="3710" spans="1:1">
      <c r="A3710" s="2">
        <v>3.59</v>
      </c>
    </row>
    <row r="3711" spans="1:1">
      <c r="A3711" s="2">
        <v>3.66</v>
      </c>
    </row>
    <row r="3712" spans="1:1">
      <c r="A3712" s="2">
        <v>3.52</v>
      </c>
    </row>
    <row r="3713" spans="1:1">
      <c r="A3713" s="2">
        <v>3.47</v>
      </c>
    </row>
    <row r="3714" spans="1:1">
      <c r="A3714" s="2">
        <v>3.63</v>
      </c>
    </row>
    <row r="3715" spans="1:1">
      <c r="A3715" s="2">
        <v>3.52</v>
      </c>
    </row>
    <row r="3716" spans="1:1">
      <c r="A3716" s="2">
        <v>3.5</v>
      </c>
    </row>
    <row r="3717" spans="1:1">
      <c r="A3717" s="2">
        <v>3.5</v>
      </c>
    </row>
    <row r="3718" spans="1:1">
      <c r="A3718" s="2">
        <v>3.46</v>
      </c>
    </row>
    <row r="3719" spans="1:1">
      <c r="A3719" s="2">
        <v>3.49</v>
      </c>
    </row>
    <row r="3720" spans="1:1">
      <c r="A3720" s="2">
        <v>3.52</v>
      </c>
    </row>
    <row r="3721" spans="1:1">
      <c r="A3721" s="2">
        <v>3.75</v>
      </c>
    </row>
    <row r="3722" spans="1:1">
      <c r="A3722" s="2">
        <v>3.62</v>
      </c>
    </row>
    <row r="3723" spans="1:1">
      <c r="A3723" s="2">
        <v>3.46</v>
      </c>
    </row>
    <row r="3724" spans="1:1">
      <c r="A3724" s="2">
        <v>3.52</v>
      </c>
    </row>
    <row r="3725" spans="1:1">
      <c r="A3725" s="2">
        <v>3.51</v>
      </c>
    </row>
    <row r="3726" spans="1:1">
      <c r="A3726" s="2">
        <v>3.51</v>
      </c>
    </row>
    <row r="3727" spans="1:1">
      <c r="A3727" s="2">
        <v>3.52</v>
      </c>
    </row>
    <row r="3728" spans="1:1">
      <c r="A3728" s="2">
        <v>3.67</v>
      </c>
    </row>
    <row r="3729" spans="1:1">
      <c r="A3729" s="2">
        <v>3.77</v>
      </c>
    </row>
    <row r="3730" spans="1:1">
      <c r="A3730" s="2">
        <v>3.52</v>
      </c>
    </row>
    <row r="3731" spans="1:1">
      <c r="A3731" s="2">
        <v>3.6</v>
      </c>
    </row>
    <row r="3732" spans="1:1">
      <c r="A3732" s="2">
        <v>3.52</v>
      </c>
    </row>
    <row r="3733" spans="1:1">
      <c r="A3733" s="2">
        <v>3.52</v>
      </c>
    </row>
    <row r="3734" spans="1:1">
      <c r="A3734" s="2">
        <v>3.52</v>
      </c>
    </row>
    <row r="3735" spans="1:1">
      <c r="A3735" s="2">
        <v>3.42</v>
      </c>
    </row>
    <row r="3736" spans="1:1">
      <c r="A3736" s="2">
        <v>3.72</v>
      </c>
    </row>
    <row r="3737" spans="1:1">
      <c r="A3737" s="2">
        <v>3.55</v>
      </c>
    </row>
    <row r="3738" spans="1:1">
      <c r="A3738" s="2">
        <v>3.52</v>
      </c>
    </row>
    <row r="3739" spans="1:1">
      <c r="A3739" s="2">
        <v>3.78</v>
      </c>
    </row>
    <row r="3740" spans="1:1">
      <c r="A3740" s="2">
        <v>3.52</v>
      </c>
    </row>
    <row r="3741" spans="1:1">
      <c r="A3741" s="2">
        <v>3.78</v>
      </c>
    </row>
    <row r="3742" spans="1:1">
      <c r="A3742" s="2">
        <v>3.52</v>
      </c>
    </row>
    <row r="3743" spans="1:1">
      <c r="A3743" s="2">
        <v>3.51</v>
      </c>
    </row>
    <row r="3744" spans="1:1">
      <c r="A3744" s="2">
        <v>3.52</v>
      </c>
    </row>
    <row r="3745" spans="1:1">
      <c r="A3745" s="2">
        <v>3.52</v>
      </c>
    </row>
    <row r="3746" spans="1:1">
      <c r="A3746" s="2">
        <v>3.47</v>
      </c>
    </row>
    <row r="3747" spans="1:1">
      <c r="A3747" s="2">
        <v>3.44</v>
      </c>
    </row>
    <row r="3748" spans="1:1">
      <c r="A3748" s="2">
        <v>3.52</v>
      </c>
    </row>
    <row r="3749" spans="1:1">
      <c r="A3749" s="2">
        <v>3.52</v>
      </c>
    </row>
    <row r="3750" spans="1:1">
      <c r="A3750" s="2">
        <v>3.57</v>
      </c>
    </row>
    <row r="3751" spans="1:1">
      <c r="A3751" s="2">
        <v>3.52</v>
      </c>
    </row>
    <row r="3752" spans="1:1">
      <c r="A3752" s="2">
        <v>3.52</v>
      </c>
    </row>
    <row r="3753" spans="1:1">
      <c r="A3753" s="2">
        <v>3.51</v>
      </c>
    </row>
    <row r="3754" spans="1:1">
      <c r="A3754" s="2">
        <v>3.5</v>
      </c>
    </row>
    <row r="3755" spans="1:1">
      <c r="A3755" s="2">
        <v>3.71</v>
      </c>
    </row>
    <row r="3756" spans="1:1">
      <c r="A3756" s="2">
        <v>3.52</v>
      </c>
    </row>
    <row r="3757" spans="1:1">
      <c r="A3757" s="2">
        <v>3.52</v>
      </c>
    </row>
    <row r="3758" spans="1:1">
      <c r="A3758" s="2">
        <v>3.74</v>
      </c>
    </row>
    <row r="3759" spans="1:1">
      <c r="A3759" s="2">
        <v>3.6</v>
      </c>
    </row>
    <row r="3760" spans="1:1">
      <c r="A3760" s="2">
        <v>3.54</v>
      </c>
    </row>
    <row r="3761" spans="1:1">
      <c r="A3761" s="2">
        <v>3.53</v>
      </c>
    </row>
    <row r="3762" spans="1:1">
      <c r="A3762" s="2">
        <v>3.79</v>
      </c>
    </row>
    <row r="3763" spans="1:1">
      <c r="A3763" s="2">
        <v>3.41</v>
      </c>
    </row>
    <row r="3764" spans="1:1">
      <c r="A3764" s="2">
        <v>3.77</v>
      </c>
    </row>
    <row r="3765" spans="1:1">
      <c r="A3765" s="2">
        <v>3.72</v>
      </c>
    </row>
    <row r="3766" spans="1:1">
      <c r="A3766" s="2">
        <v>3.47</v>
      </c>
    </row>
    <row r="3767" spans="1:1">
      <c r="A3767" s="2">
        <v>3.52</v>
      </c>
    </row>
    <row r="3768" spans="1:1">
      <c r="A3768" s="2">
        <v>3.64</v>
      </c>
    </row>
    <row r="3769" spans="1:1">
      <c r="A3769" s="2">
        <v>3.52</v>
      </c>
    </row>
    <row r="3770" spans="1:1">
      <c r="A3770" s="2">
        <v>3.52</v>
      </c>
    </row>
    <row r="3771" spans="1:1">
      <c r="A3771" s="2">
        <v>3.53</v>
      </c>
    </row>
    <row r="3772" spans="1:1">
      <c r="A3772" s="2">
        <v>3.46</v>
      </c>
    </row>
    <row r="3773" spans="1:1">
      <c r="A3773" s="2">
        <v>3.52</v>
      </c>
    </row>
    <row r="3774" spans="1:1">
      <c r="A3774" s="2">
        <v>3.78</v>
      </c>
    </row>
    <row r="3775" spans="1:1">
      <c r="A3775" s="2">
        <v>3.52</v>
      </c>
    </row>
    <row r="3776" spans="1:1">
      <c r="A3776" s="2">
        <v>3.52</v>
      </c>
    </row>
    <row r="3777" spans="1:1">
      <c r="A3777" s="2">
        <v>3.52</v>
      </c>
    </row>
    <row r="3778" spans="1:1">
      <c r="A3778" s="2">
        <v>3.52</v>
      </c>
    </row>
    <row r="3779" spans="1:1">
      <c r="A3779" s="2">
        <v>3.52</v>
      </c>
    </row>
    <row r="3780" spans="1:1">
      <c r="A3780" s="2">
        <v>3.52</v>
      </c>
    </row>
    <row r="3781" spans="1:1">
      <c r="A3781" s="2">
        <v>3.52</v>
      </c>
    </row>
    <row r="3782" spans="1:1">
      <c r="A3782" s="2">
        <v>3.64</v>
      </c>
    </row>
    <row r="3783" spans="1:1">
      <c r="A3783" s="2">
        <v>3.52</v>
      </c>
    </row>
    <row r="3784" spans="1:1">
      <c r="A3784" s="2">
        <v>3.52</v>
      </c>
    </row>
    <row r="3785" spans="1:1">
      <c r="A3785" s="2">
        <v>3.59</v>
      </c>
    </row>
    <row r="3786" spans="1:1">
      <c r="A3786" s="2">
        <v>3.52</v>
      </c>
    </row>
    <row r="3787" spans="1:1">
      <c r="A3787" s="2">
        <v>3.52</v>
      </c>
    </row>
    <row r="3788" spans="1:1">
      <c r="A3788" s="2">
        <v>3.72</v>
      </c>
    </row>
    <row r="3789" spans="1:1">
      <c r="A3789" s="2">
        <v>3.43</v>
      </c>
    </row>
    <row r="3790" spans="1:1">
      <c r="A3790" s="2">
        <v>3.72</v>
      </c>
    </row>
    <row r="3791" spans="1:1">
      <c r="A3791" s="2">
        <v>3.48</v>
      </c>
    </row>
    <row r="3792" spans="1:1">
      <c r="A3792" s="2">
        <v>3.43</v>
      </c>
    </row>
    <row r="3793" spans="1:1">
      <c r="A3793" s="2">
        <v>3.75</v>
      </c>
    </row>
    <row r="3794" spans="1:1">
      <c r="A3794" s="2">
        <v>3.52</v>
      </c>
    </row>
    <row r="3795" spans="1:1">
      <c r="A3795" s="2">
        <v>3.78</v>
      </c>
    </row>
    <row r="3796" spans="1:1">
      <c r="A3796" s="2">
        <v>3.67</v>
      </c>
    </row>
    <row r="3797" spans="1:1">
      <c r="A3797" s="2">
        <v>3.78</v>
      </c>
    </row>
    <row r="3798" spans="1:1">
      <c r="A3798" s="2">
        <v>3.52</v>
      </c>
    </row>
    <row r="3799" spans="1:1">
      <c r="A3799" s="2">
        <v>3.6</v>
      </c>
    </row>
    <row r="3800" spans="1:1">
      <c r="A3800" s="2">
        <v>3.52</v>
      </c>
    </row>
    <row r="3801" spans="1:1">
      <c r="A3801" s="2">
        <v>3.44</v>
      </c>
    </row>
    <row r="3802" spans="1:1">
      <c r="A3802" s="2">
        <v>3.52</v>
      </c>
    </row>
    <row r="3803" spans="1:1">
      <c r="A3803" s="2">
        <v>3.41</v>
      </c>
    </row>
    <row r="3804" spans="1:1">
      <c r="A3804" s="2">
        <v>3.6</v>
      </c>
    </row>
    <row r="3805" spans="1:1">
      <c r="A3805" s="2">
        <v>3.52</v>
      </c>
    </row>
    <row r="3806" spans="1:1">
      <c r="A3806" s="2">
        <v>3.52</v>
      </c>
    </row>
    <row r="3807" spans="1:1">
      <c r="A3807" s="2">
        <v>3.52</v>
      </c>
    </row>
    <row r="3808" spans="1:1">
      <c r="A3808" s="2">
        <v>3.59</v>
      </c>
    </row>
    <row r="3809" spans="1:1">
      <c r="A3809" s="2">
        <v>3.52</v>
      </c>
    </row>
    <row r="3810" spans="1:1">
      <c r="A3810" s="2">
        <v>3.52</v>
      </c>
    </row>
    <row r="3811" spans="1:1">
      <c r="A3811" s="2">
        <v>3.74</v>
      </c>
    </row>
    <row r="3812" spans="1:1">
      <c r="A3812" s="2">
        <v>3.52</v>
      </c>
    </row>
    <row r="3813" spans="1:1">
      <c r="A3813" s="2">
        <v>3.69</v>
      </c>
    </row>
    <row r="3814" spans="1:1">
      <c r="A3814" s="2">
        <v>3.52</v>
      </c>
    </row>
    <row r="3815" spans="1:1">
      <c r="A3815" s="2">
        <v>3.78</v>
      </c>
    </row>
    <row r="3816" spans="1:1">
      <c r="A3816" s="2">
        <v>3.46</v>
      </c>
    </row>
    <row r="3817" spans="1:1">
      <c r="A3817" s="2">
        <v>3.52</v>
      </c>
    </row>
    <row r="3818" spans="1:1">
      <c r="A3818" s="2">
        <v>3.52</v>
      </c>
    </row>
    <row r="3819" spans="1:1">
      <c r="A3819" s="2">
        <v>3.64</v>
      </c>
    </row>
    <row r="3820" spans="1:1">
      <c r="A3820" s="2">
        <v>3.53</v>
      </c>
    </row>
    <row r="3821" spans="1:1">
      <c r="A3821" s="2">
        <v>3.52</v>
      </c>
    </row>
    <row r="3822" spans="1:1">
      <c r="A3822" s="2">
        <v>3.75</v>
      </c>
    </row>
    <row r="3823" spans="1:1">
      <c r="A3823" s="2">
        <v>3.64</v>
      </c>
    </row>
    <row r="3824" spans="1:1">
      <c r="A3824" s="2">
        <v>3.61</v>
      </c>
    </row>
    <row r="3825" spans="1:1">
      <c r="A3825" s="2">
        <v>3.41</v>
      </c>
    </row>
    <row r="3826" spans="1:1">
      <c r="A3826" s="2">
        <v>3.52</v>
      </c>
    </row>
    <row r="3827" spans="1:1">
      <c r="A3827" s="2">
        <v>3.52</v>
      </c>
    </row>
    <row r="3828" spans="1:1">
      <c r="A3828" s="2">
        <v>3.57</v>
      </c>
    </row>
    <row r="3829" spans="1:1">
      <c r="A3829" s="2">
        <v>3.75</v>
      </c>
    </row>
    <row r="3830" spans="1:1">
      <c r="A3830" s="2">
        <v>3.52</v>
      </c>
    </row>
    <row r="3831" spans="1:1">
      <c r="A3831" s="2">
        <v>3.76</v>
      </c>
    </row>
    <row r="3832" spans="1:1">
      <c r="A3832" s="2">
        <v>3.52</v>
      </c>
    </row>
    <row r="3833" spans="1:1">
      <c r="A3833" s="2">
        <v>3.64</v>
      </c>
    </row>
    <row r="3834" spans="1:1">
      <c r="A3834" s="2">
        <v>3.52</v>
      </c>
    </row>
    <row r="3835" spans="1:1">
      <c r="A3835" s="2">
        <v>3.52</v>
      </c>
    </row>
    <row r="3836" spans="1:1">
      <c r="A3836" s="2">
        <v>3.52</v>
      </c>
    </row>
    <row r="3837" spans="1:1">
      <c r="A3837" s="2">
        <v>3.44</v>
      </c>
    </row>
    <row r="3838" spans="1:1">
      <c r="A3838" s="2">
        <v>3.56</v>
      </c>
    </row>
    <row r="3839" spans="1:1">
      <c r="A3839" s="2">
        <v>3.51</v>
      </c>
    </row>
    <row r="3840" spans="1:1">
      <c r="A3840" s="2">
        <v>3.52</v>
      </c>
    </row>
    <row r="3841" spans="1:1">
      <c r="A3841" s="2">
        <v>3.52</v>
      </c>
    </row>
    <row r="3842" spans="1:1">
      <c r="A3842" s="2">
        <v>3.57</v>
      </c>
    </row>
    <row r="3843" spans="1:1">
      <c r="A3843" s="2">
        <v>3.52</v>
      </c>
    </row>
    <row r="3844" spans="1:1">
      <c r="A3844" s="2">
        <v>3.79</v>
      </c>
    </row>
    <row r="3845" spans="1:1">
      <c r="A3845" s="2">
        <v>3.41</v>
      </c>
    </row>
    <row r="3846" spans="1:1">
      <c r="A3846" s="2">
        <v>3.7</v>
      </c>
    </row>
    <row r="3847" spans="1:1">
      <c r="A3847" s="2">
        <v>3.72</v>
      </c>
    </row>
    <row r="3848" spans="1:1">
      <c r="A3848" s="2">
        <v>3.5</v>
      </c>
    </row>
    <row r="3849" spans="1:1">
      <c r="A3849" s="2">
        <v>3.48</v>
      </c>
    </row>
    <row r="3850" spans="1:1">
      <c r="A3850" s="2">
        <v>3.41</v>
      </c>
    </row>
    <row r="3851" spans="1:1">
      <c r="A3851" s="2">
        <v>3.52</v>
      </c>
    </row>
    <row r="3852" spans="1:1">
      <c r="A3852" s="2">
        <v>3.52</v>
      </c>
    </row>
    <row r="3853" spans="1:1">
      <c r="A3853" s="2">
        <v>3.56</v>
      </c>
    </row>
    <row r="3854" spans="1:1">
      <c r="A3854" s="2">
        <v>3.62</v>
      </c>
    </row>
    <row r="3855" spans="1:1">
      <c r="A3855" s="2">
        <v>3.57</v>
      </c>
    </row>
    <row r="3856" spans="1:1">
      <c r="A3856" s="2">
        <v>3.52</v>
      </c>
    </row>
    <row r="3857" spans="1:1">
      <c r="A3857" s="2">
        <v>3.52</v>
      </c>
    </row>
    <row r="3858" spans="1:1">
      <c r="A3858" s="2">
        <v>3.52</v>
      </c>
    </row>
    <row r="3859" spans="1:1">
      <c r="A3859" s="2">
        <v>3.52</v>
      </c>
    </row>
    <row r="3860" spans="1:1">
      <c r="A3860" s="2">
        <v>3.78</v>
      </c>
    </row>
    <row r="3861" spans="1:1">
      <c r="A3861" s="2">
        <v>3.78</v>
      </c>
    </row>
    <row r="3862" spans="1:1">
      <c r="A3862" s="2">
        <v>3.57</v>
      </c>
    </row>
    <row r="3863" spans="1:1">
      <c r="A3863" s="2">
        <v>3.75</v>
      </c>
    </row>
    <row r="3864" spans="1:1">
      <c r="A3864" s="2">
        <v>3.51</v>
      </c>
    </row>
    <row r="3865" spans="1:1">
      <c r="A3865" s="2">
        <v>3.52</v>
      </c>
    </row>
    <row r="3866" spans="1:1">
      <c r="A3866" s="2">
        <v>3.52</v>
      </c>
    </row>
    <row r="3867" spans="1:1">
      <c r="A3867" s="2">
        <v>3.67</v>
      </c>
    </row>
    <row r="3868" spans="1:1">
      <c r="A3868" s="2">
        <v>3.58</v>
      </c>
    </row>
    <row r="3869" spans="1:1">
      <c r="A3869" s="2">
        <v>3.42</v>
      </c>
    </row>
    <row r="3870" spans="1:1">
      <c r="A3870" s="2">
        <v>3.74</v>
      </c>
    </row>
    <row r="3871" spans="1:1">
      <c r="A3871" s="2">
        <v>3.62</v>
      </c>
    </row>
    <row r="3872" spans="1:1">
      <c r="A3872" s="2">
        <v>3.59</v>
      </c>
    </row>
    <row r="3873" spans="1:1">
      <c r="A3873" s="2">
        <v>3.52</v>
      </c>
    </row>
    <row r="3874" spans="1:1">
      <c r="A3874" s="2">
        <v>3.5</v>
      </c>
    </row>
    <row r="3875" spans="1:1">
      <c r="A3875" s="2">
        <v>3.69</v>
      </c>
    </row>
    <row r="3876" spans="1:1">
      <c r="A3876" s="2">
        <v>3.52</v>
      </c>
    </row>
    <row r="3877" spans="1:1">
      <c r="A3877" s="2">
        <v>3.62</v>
      </c>
    </row>
    <row r="3878" spans="1:1">
      <c r="A3878" s="2">
        <v>3.52</v>
      </c>
    </row>
    <row r="3879" spans="1:1">
      <c r="A3879" s="2">
        <v>3.52</v>
      </c>
    </row>
    <row r="3880" spans="1:1">
      <c r="A3880" s="2">
        <v>3.77</v>
      </c>
    </row>
    <row r="3881" spans="1:1">
      <c r="A3881" s="2">
        <v>3.69</v>
      </c>
    </row>
    <row r="3882" spans="1:1">
      <c r="A3882" s="2">
        <v>3.52</v>
      </c>
    </row>
    <row r="3883" spans="1:1">
      <c r="A3883" s="2">
        <v>3.8</v>
      </c>
    </row>
    <row r="3884" spans="1:1">
      <c r="A3884" s="2">
        <v>3.52</v>
      </c>
    </row>
    <row r="3885" spans="1:1">
      <c r="A3885" s="2">
        <v>3.6</v>
      </c>
    </row>
    <row r="3886" spans="1:1">
      <c r="A3886" s="2">
        <v>3.52</v>
      </c>
    </row>
    <row r="3887" spans="1:1">
      <c r="A3887" s="2">
        <v>3.52</v>
      </c>
    </row>
    <row r="3888" spans="1:1">
      <c r="A3888" s="2">
        <v>3.59</v>
      </c>
    </row>
    <row r="3889" spans="1:1">
      <c r="A3889" s="2">
        <v>3.73</v>
      </c>
    </row>
    <row r="3890" spans="1:1">
      <c r="A3890" s="2">
        <v>3.41</v>
      </c>
    </row>
    <row r="3891" spans="1:1">
      <c r="A3891" s="2">
        <v>3.53</v>
      </c>
    </row>
    <row r="3892" spans="1:1">
      <c r="A3892" s="2">
        <v>3.71</v>
      </c>
    </row>
    <row r="3893" spans="1:1">
      <c r="A3893" s="2">
        <v>3.59</v>
      </c>
    </row>
    <row r="3894" spans="1:1">
      <c r="A3894" s="2">
        <v>3.52</v>
      </c>
    </row>
    <row r="3895" spans="1:1">
      <c r="A3895" s="2">
        <v>3.6</v>
      </c>
    </row>
    <row r="3896" spans="1:1">
      <c r="A3896" s="2">
        <v>3.52</v>
      </c>
    </row>
    <row r="3897" spans="1:1">
      <c r="A3897" s="2">
        <v>3.74</v>
      </c>
    </row>
    <row r="3898" spans="1:1">
      <c r="A3898" s="2">
        <v>3.52</v>
      </c>
    </row>
    <row r="3899" spans="1:1">
      <c r="A3899" s="2">
        <v>3.5</v>
      </c>
    </row>
    <row r="3900" spans="1:1">
      <c r="A3900" s="2">
        <v>3.78</v>
      </c>
    </row>
    <row r="3901" spans="1:1">
      <c r="A3901" s="2">
        <v>3.41</v>
      </c>
    </row>
    <row r="3902" spans="1:1">
      <c r="A3902" s="2">
        <v>3.57</v>
      </c>
    </row>
    <row r="3903" spans="1:1">
      <c r="A3903" s="2">
        <v>3.52</v>
      </c>
    </row>
    <row r="3904" spans="1:1">
      <c r="A3904" s="2">
        <v>3.71</v>
      </c>
    </row>
    <row r="3905" spans="1:1">
      <c r="A3905" s="2">
        <v>3.52</v>
      </c>
    </row>
    <row r="3906" spans="1:1">
      <c r="A3906" s="2">
        <v>3.78</v>
      </c>
    </row>
    <row r="3907" spans="1:1">
      <c r="A3907" s="2">
        <v>3.52</v>
      </c>
    </row>
    <row r="3908" spans="1:1">
      <c r="A3908" s="2">
        <v>3.71</v>
      </c>
    </row>
    <row r="3909" spans="1:1">
      <c r="A3909" s="2">
        <v>3.64</v>
      </c>
    </row>
    <row r="3910" spans="1:1">
      <c r="A3910" s="2">
        <v>3.51</v>
      </c>
    </row>
    <row r="3911" spans="1:1">
      <c r="A3911" s="2">
        <v>3.5</v>
      </c>
    </row>
    <row r="3912" spans="1:1">
      <c r="A3912" s="2">
        <v>3.76</v>
      </c>
    </row>
    <row r="3913" spans="1:1">
      <c r="A3913" s="2">
        <v>3.52</v>
      </c>
    </row>
    <row r="3914" spans="1:1">
      <c r="A3914" s="2">
        <v>3.52</v>
      </c>
    </row>
    <row r="3915" spans="1:1">
      <c r="A3915" s="2">
        <v>3.52</v>
      </c>
    </row>
    <row r="3916" spans="1:1">
      <c r="A3916" s="2">
        <v>3.52</v>
      </c>
    </row>
    <row r="3917" spans="1:1">
      <c r="A3917" s="2">
        <v>3.77</v>
      </c>
    </row>
    <row r="3918" spans="1:1">
      <c r="A3918" s="2">
        <v>3.52</v>
      </c>
    </row>
    <row r="3919" spans="1:1">
      <c r="A3919" s="2">
        <v>3.52</v>
      </c>
    </row>
    <row r="3920" spans="1:1">
      <c r="A3920" s="2">
        <v>3.52</v>
      </c>
    </row>
    <row r="3921" spans="1:1">
      <c r="A3921" s="2">
        <v>3.78</v>
      </c>
    </row>
    <row r="3922" spans="1:1">
      <c r="A3922" s="2">
        <v>3.56</v>
      </c>
    </row>
    <row r="3923" spans="1:1">
      <c r="A3923" s="2">
        <v>3.59</v>
      </c>
    </row>
    <row r="3924" spans="1:1">
      <c r="A3924" s="2">
        <v>3.52</v>
      </c>
    </row>
    <row r="3925" spans="1:1">
      <c r="A3925" s="2">
        <v>3.51</v>
      </c>
    </row>
    <row r="3926" spans="1:1">
      <c r="A3926" s="2">
        <v>3.6</v>
      </c>
    </row>
    <row r="3927" spans="1:1">
      <c r="A3927" s="2">
        <v>3.8</v>
      </c>
    </row>
    <row r="3928" spans="1:1">
      <c r="A3928" s="2">
        <v>3.52</v>
      </c>
    </row>
    <row r="3929" spans="1:1">
      <c r="A3929" s="2">
        <v>3.41</v>
      </c>
    </row>
    <row r="3930" spans="1:1">
      <c r="A3930" s="2">
        <v>3.71</v>
      </c>
    </row>
    <row r="3931" spans="1:1">
      <c r="A3931" s="2">
        <v>3.51</v>
      </c>
    </row>
    <row r="3932" spans="1:1">
      <c r="A3932" s="2">
        <v>3.74</v>
      </c>
    </row>
    <row r="3933" spans="1:1">
      <c r="A3933" s="2">
        <v>3.78</v>
      </c>
    </row>
    <row r="3934" spans="1:1">
      <c r="A3934" s="2">
        <v>3.76</v>
      </c>
    </row>
    <row r="3935" spans="1:1">
      <c r="A3935" s="2">
        <v>3.7</v>
      </c>
    </row>
    <row r="3936" spans="1:1">
      <c r="A3936" s="2">
        <v>3.52</v>
      </c>
    </row>
    <row r="3937" spans="1:1">
      <c r="A3937" s="2">
        <v>3.52</v>
      </c>
    </row>
    <row r="3938" spans="1:1">
      <c r="A3938" s="2">
        <v>3.72</v>
      </c>
    </row>
    <row r="3939" spans="1:1">
      <c r="A3939" s="2">
        <v>3.52</v>
      </c>
    </row>
    <row r="3940" spans="1:1">
      <c r="A3940" s="2">
        <v>3.47</v>
      </c>
    </row>
    <row r="3941" spans="1:1">
      <c r="A3941" s="2">
        <v>3.52</v>
      </c>
    </row>
    <row r="3942" spans="1:1">
      <c r="A3942" s="2">
        <v>3.52</v>
      </c>
    </row>
    <row r="3943" spans="1:1">
      <c r="A3943" s="2">
        <v>3.41</v>
      </c>
    </row>
    <row r="3944" spans="1:1">
      <c r="A3944" s="2">
        <v>3.62</v>
      </c>
    </row>
    <row r="3945" spans="1:1">
      <c r="A3945" s="2">
        <v>3.52</v>
      </c>
    </row>
    <row r="3946" spans="1:1">
      <c r="A3946" s="2">
        <v>3.52</v>
      </c>
    </row>
    <row r="3947" spans="1:1">
      <c r="A3947" s="2">
        <v>3.7</v>
      </c>
    </row>
    <row r="3948" spans="1:1">
      <c r="A3948" s="2">
        <v>3.52</v>
      </c>
    </row>
    <row r="3949" spans="1:1">
      <c r="A3949" s="2">
        <v>3.57</v>
      </c>
    </row>
    <row r="3950" spans="1:1">
      <c r="A3950" s="2">
        <v>3.8</v>
      </c>
    </row>
    <row r="3951" spans="1:1">
      <c r="A3951" s="2">
        <v>3.69</v>
      </c>
    </row>
    <row r="3952" spans="1:1">
      <c r="A3952" s="2">
        <v>3.52</v>
      </c>
    </row>
    <row r="3953" spans="1:1">
      <c r="A3953" s="2">
        <v>3.52</v>
      </c>
    </row>
    <row r="3954" spans="1:1">
      <c r="A3954" s="2">
        <v>3.52</v>
      </c>
    </row>
    <row r="3955" spans="1:1">
      <c r="A3955" s="2">
        <v>3.82</v>
      </c>
    </row>
    <row r="3956" spans="1:1">
      <c r="A3956" s="2">
        <v>3.68</v>
      </c>
    </row>
    <row r="3957" spans="1:1">
      <c r="A3957" s="2">
        <v>3.41</v>
      </c>
    </row>
    <row r="3958" spans="1:1">
      <c r="A3958" s="2">
        <v>3.52</v>
      </c>
    </row>
    <row r="3959" spans="1:1">
      <c r="A3959" s="2">
        <v>3.45</v>
      </c>
    </row>
    <row r="3960" spans="1:1">
      <c r="A3960" s="2">
        <v>3.52</v>
      </c>
    </row>
    <row r="3961" spans="1:1">
      <c r="A3961" s="2">
        <v>3.64</v>
      </c>
    </row>
    <row r="3962" spans="1:1">
      <c r="A3962" s="2">
        <v>3.44</v>
      </c>
    </row>
    <row r="3963" spans="1:1">
      <c r="A3963" s="2">
        <v>3.72</v>
      </c>
    </row>
    <row r="3964" spans="1:1">
      <c r="A3964" s="2">
        <v>3.52</v>
      </c>
    </row>
    <row r="3965" spans="1:1">
      <c r="A3965" s="2">
        <v>3.52</v>
      </c>
    </row>
    <row r="3966" spans="1:1">
      <c r="A3966" s="2">
        <v>3.52</v>
      </c>
    </row>
    <row r="3967" spans="1:1">
      <c r="A3967" s="2">
        <v>3.44</v>
      </c>
    </row>
    <row r="3968" spans="1:1">
      <c r="A3968" s="2">
        <v>3.46</v>
      </c>
    </row>
    <row r="3969" spans="1:1">
      <c r="A3969" s="2">
        <v>3.52</v>
      </c>
    </row>
    <row r="3970" spans="1:1">
      <c r="A3970" s="2">
        <v>3.52</v>
      </c>
    </row>
    <row r="3971" spans="1:1">
      <c r="A3971" s="2">
        <v>3.52</v>
      </c>
    </row>
    <row r="3972" spans="1:1">
      <c r="A3972" s="2">
        <v>3.52</v>
      </c>
    </row>
    <row r="3973" spans="1:1">
      <c r="A3973" s="2">
        <v>3.48</v>
      </c>
    </row>
    <row r="3974" spans="1:1">
      <c r="A3974" s="2">
        <v>3.78</v>
      </c>
    </row>
    <row r="3975" spans="1:1">
      <c r="A3975" s="2">
        <v>3.52</v>
      </c>
    </row>
    <row r="3976" spans="1:1">
      <c r="A3976" s="2">
        <v>3.76</v>
      </c>
    </row>
    <row r="3977" spans="1:1">
      <c r="A3977" s="2">
        <v>3.51</v>
      </c>
    </row>
    <row r="3978" spans="1:1">
      <c r="A3978" s="2">
        <v>3.53</v>
      </c>
    </row>
    <row r="3979" spans="1:1">
      <c r="A3979" s="2">
        <v>3.52</v>
      </c>
    </row>
    <row r="3980" spans="1:1">
      <c r="A3980" s="2">
        <v>3.49</v>
      </c>
    </row>
    <row r="3981" spans="1:1">
      <c r="A3981" s="2">
        <v>3.52</v>
      </c>
    </row>
    <row r="3982" spans="1:1">
      <c r="A3982" s="2">
        <v>3.78</v>
      </c>
    </row>
    <row r="3983" spans="1:1">
      <c r="A3983" s="2">
        <v>3.52</v>
      </c>
    </row>
    <row r="3984" spans="1:1">
      <c r="A3984" s="2">
        <v>3.6</v>
      </c>
    </row>
    <row r="3985" spans="1:1">
      <c r="A3985" s="2">
        <v>3.52</v>
      </c>
    </row>
    <row r="3986" spans="1:1">
      <c r="A3986" s="2">
        <v>3.52</v>
      </c>
    </row>
    <row r="3987" spans="1:1">
      <c r="A3987" s="2">
        <v>3.51</v>
      </c>
    </row>
    <row r="3988" spans="1:1">
      <c r="A3988" s="2">
        <v>3.51</v>
      </c>
    </row>
    <row r="3989" spans="1:1">
      <c r="A3989" s="2">
        <v>3.53</v>
      </c>
    </row>
    <row r="3990" spans="1:1">
      <c r="A3990" s="2">
        <v>3.57</v>
      </c>
    </row>
    <row r="3991" spans="1:1">
      <c r="A3991" s="2">
        <v>3.52</v>
      </c>
    </row>
    <row r="3992" spans="1:1">
      <c r="A3992" s="2">
        <v>3.52</v>
      </c>
    </row>
    <row r="3993" spans="1:1">
      <c r="A3993" s="2">
        <v>3.47</v>
      </c>
    </row>
    <row r="3994" spans="1:1">
      <c r="A3994" s="2">
        <v>3.78</v>
      </c>
    </row>
    <row r="3995" spans="1:1">
      <c r="A3995" s="2">
        <v>3.79</v>
      </c>
    </row>
    <row r="3996" spans="1:1">
      <c r="A3996" s="2">
        <v>3.66</v>
      </c>
    </row>
    <row r="3997" spans="1:1">
      <c r="A3997" s="2">
        <v>3.51</v>
      </c>
    </row>
    <row r="3998" spans="1:1">
      <c r="A3998" s="2">
        <v>3.66</v>
      </c>
    </row>
    <row r="3999" spans="1:1">
      <c r="A3999" s="2">
        <v>3.51</v>
      </c>
    </row>
    <row r="4000" spans="1:1">
      <c r="A4000" s="2">
        <v>3.48</v>
      </c>
    </row>
    <row r="4001" spans="1:1">
      <c r="A4001" s="2">
        <v>3.71</v>
      </c>
    </row>
    <row r="4002" spans="1:1">
      <c r="A4002" s="2">
        <v>3.52</v>
      </c>
    </row>
    <row r="4003" spans="1:1">
      <c r="A4003" s="2">
        <v>3.65</v>
      </c>
    </row>
    <row r="4004" spans="1:1">
      <c r="A4004" s="2">
        <v>3.47</v>
      </c>
    </row>
    <row r="4005" spans="1:1">
      <c r="A4005" s="2">
        <v>3.52</v>
      </c>
    </row>
    <row r="4006" spans="1:1">
      <c r="A4006" s="2">
        <v>3.52</v>
      </c>
    </row>
    <row r="4007" spans="1:1">
      <c r="A4007" s="2">
        <v>3.45</v>
      </c>
    </row>
    <row r="4008" spans="1:1">
      <c r="A4008" s="2">
        <v>3.72</v>
      </c>
    </row>
    <row r="4009" spans="1:1">
      <c r="A4009" s="2">
        <v>3.46</v>
      </c>
    </row>
    <row r="4010" spans="1:1">
      <c r="A4010" s="2">
        <v>3.63</v>
      </c>
    </row>
    <row r="4011" spans="1:1">
      <c r="A4011" s="2">
        <v>3.69</v>
      </c>
    </row>
    <row r="4012" spans="1:1">
      <c r="A4012" s="2">
        <v>3.52</v>
      </c>
    </row>
    <row r="4013" spans="1:1">
      <c r="A4013" s="2">
        <v>3.46</v>
      </c>
    </row>
    <row r="4014" spans="1:1">
      <c r="A4014" s="2">
        <v>3.52</v>
      </c>
    </row>
    <row r="4015" spans="1:1">
      <c r="A4015" s="2">
        <v>3.52</v>
      </c>
    </row>
    <row r="4016" spans="1:1">
      <c r="A4016" s="2">
        <v>3.52</v>
      </c>
    </row>
    <row r="4017" spans="1:1">
      <c r="A4017" s="2">
        <v>3.52</v>
      </c>
    </row>
    <row r="4018" spans="1:1">
      <c r="A4018" s="2">
        <v>3.68</v>
      </c>
    </row>
    <row r="4019" spans="1:1">
      <c r="A4019" s="2">
        <v>3.43</v>
      </c>
    </row>
    <row r="4020" spans="1:1">
      <c r="A4020" s="2">
        <v>3.42</v>
      </c>
    </row>
    <row r="4021" spans="1:1">
      <c r="A4021" s="2">
        <v>3.52</v>
      </c>
    </row>
    <row r="4022" spans="1:1">
      <c r="A4022" s="2">
        <v>3.52</v>
      </c>
    </row>
    <row r="4023" spans="1:1">
      <c r="A4023" s="2">
        <v>3.78</v>
      </c>
    </row>
    <row r="4024" spans="1:1">
      <c r="A4024" s="2">
        <v>3.52</v>
      </c>
    </row>
    <row r="4025" spans="1:1">
      <c r="A4025" s="2">
        <v>3.52</v>
      </c>
    </row>
    <row r="4026" spans="1:1">
      <c r="A4026" s="2">
        <v>3.46</v>
      </c>
    </row>
    <row r="4027" spans="1:1">
      <c r="A4027" s="2">
        <v>3.42</v>
      </c>
    </row>
    <row r="4028" spans="1:1">
      <c r="A4028" s="2">
        <v>3.58</v>
      </c>
    </row>
    <row r="4029" spans="1:1">
      <c r="A4029" s="2">
        <v>3.6</v>
      </c>
    </row>
    <row r="4030" spans="1:1">
      <c r="A4030" s="2">
        <v>3.52</v>
      </c>
    </row>
    <row r="4031" spans="1:1">
      <c r="A4031" s="2">
        <v>3.78</v>
      </c>
    </row>
    <row r="4032" spans="1:1">
      <c r="A4032" s="2">
        <v>3.78</v>
      </c>
    </row>
    <row r="4033" spans="1:1">
      <c r="A4033" s="2">
        <v>3.52</v>
      </c>
    </row>
    <row r="4034" spans="1:1">
      <c r="A4034" s="2">
        <v>3.52</v>
      </c>
    </row>
    <row r="4035" spans="1:1">
      <c r="A4035" s="2">
        <v>3.65</v>
      </c>
    </row>
    <row r="4036" spans="1:1">
      <c r="A4036" s="2">
        <v>3.52</v>
      </c>
    </row>
    <row r="4037" spans="1:1">
      <c r="A4037" s="2">
        <v>3.6</v>
      </c>
    </row>
    <row r="4038" spans="1:1">
      <c r="A4038" s="2">
        <v>3.52</v>
      </c>
    </row>
    <row r="4039" spans="1:1">
      <c r="A4039" s="2">
        <v>3.78</v>
      </c>
    </row>
    <row r="4040" spans="1:1">
      <c r="A4040" s="2">
        <v>3.61</v>
      </c>
    </row>
    <row r="4041" spans="1:1">
      <c r="A4041" s="2">
        <v>3.62</v>
      </c>
    </row>
    <row r="4042" spans="1:1">
      <c r="A4042" s="2">
        <v>3.52</v>
      </c>
    </row>
    <row r="4043" spans="1:1">
      <c r="A4043" s="2">
        <v>3.51</v>
      </c>
    </row>
    <row r="4044" spans="1:1">
      <c r="A4044" s="2">
        <v>3.61</v>
      </c>
    </row>
    <row r="4045" spans="1:1">
      <c r="A4045" s="2">
        <v>3.52</v>
      </c>
    </row>
    <row r="4046" spans="1:1">
      <c r="A4046" s="2">
        <v>3.46</v>
      </c>
    </row>
    <row r="4047" spans="1:1">
      <c r="A4047" s="2">
        <v>3.52</v>
      </c>
    </row>
    <row r="4048" spans="1:1">
      <c r="A4048" s="2">
        <v>3.71</v>
      </c>
    </row>
    <row r="4049" spans="1:1">
      <c r="A4049" s="2">
        <v>3.52</v>
      </c>
    </row>
    <row r="4050" spans="1:1">
      <c r="A4050" s="2">
        <v>3.63</v>
      </c>
    </row>
    <row r="4051" spans="1:1">
      <c r="A4051" s="2">
        <v>3.49</v>
      </c>
    </row>
    <row r="4052" spans="1:1">
      <c r="A4052" s="2">
        <v>3.52</v>
      </c>
    </row>
    <row r="4053" spans="1:1">
      <c r="A4053" s="2">
        <v>3.52</v>
      </c>
    </row>
    <row r="4054" spans="1:1">
      <c r="A4054" s="2">
        <v>3.52</v>
      </c>
    </row>
    <row r="4055" spans="1:1">
      <c r="A4055" s="2">
        <v>3.52</v>
      </c>
    </row>
    <row r="4056" spans="1:1">
      <c r="A4056" s="2">
        <v>3.6</v>
      </c>
    </row>
    <row r="4057" spans="1:1">
      <c r="A4057" s="2">
        <v>3.54</v>
      </c>
    </row>
    <row r="4058" spans="1:1">
      <c r="A4058" s="2">
        <v>3.52</v>
      </c>
    </row>
    <row r="4059" spans="1:1">
      <c r="A4059" s="2">
        <v>3.62</v>
      </c>
    </row>
    <row r="4060" spans="1:1">
      <c r="A4060" s="2">
        <v>3.65</v>
      </c>
    </row>
    <row r="4061" spans="1:1">
      <c r="A4061" s="2">
        <v>3.76</v>
      </c>
    </row>
    <row r="4062" spans="1:1">
      <c r="A4062" s="2">
        <v>3.8</v>
      </c>
    </row>
    <row r="4063" spans="1:1">
      <c r="A4063" s="2">
        <v>3.51</v>
      </c>
    </row>
    <row r="4064" spans="1:1">
      <c r="A4064" s="2">
        <v>3.52</v>
      </c>
    </row>
    <row r="4065" spans="1:1">
      <c r="A4065" s="2">
        <v>3.82</v>
      </c>
    </row>
    <row r="4066" spans="1:1">
      <c r="A4066" s="2">
        <v>3.58</v>
      </c>
    </row>
    <row r="4067" spans="1:1">
      <c r="A4067" s="2">
        <v>3.43</v>
      </c>
    </row>
    <row r="4068" spans="1:1">
      <c r="A4068" s="2">
        <v>3.52</v>
      </c>
    </row>
    <row r="4069" spans="1:1">
      <c r="A4069" s="2">
        <v>3.59</v>
      </c>
    </row>
    <row r="4070" spans="1:1">
      <c r="A4070" s="2">
        <v>3.78</v>
      </c>
    </row>
    <row r="4071" spans="1:1">
      <c r="A4071" s="2">
        <v>3.52</v>
      </c>
    </row>
    <row r="4072" spans="1:1">
      <c r="A4072" s="2">
        <v>3.6</v>
      </c>
    </row>
    <row r="4073" spans="1:1">
      <c r="A4073" s="2">
        <v>3.52</v>
      </c>
    </row>
    <row r="4074" spans="1:1">
      <c r="A4074" s="2">
        <v>3.49</v>
      </c>
    </row>
    <row r="4075" spans="1:1">
      <c r="A4075" s="2">
        <v>3.49</v>
      </c>
    </row>
    <row r="4076" spans="1:1">
      <c r="A4076" s="2">
        <v>3.48</v>
      </c>
    </row>
    <row r="4077" spans="1:1">
      <c r="A4077" s="2">
        <v>3.52</v>
      </c>
    </row>
    <row r="4078" spans="1:1">
      <c r="A4078" s="2">
        <v>3.42</v>
      </c>
    </row>
    <row r="4079" spans="1:1">
      <c r="A4079" s="2">
        <v>3.8</v>
      </c>
    </row>
    <row r="4080" spans="1:1">
      <c r="A4080" s="2">
        <v>3.78</v>
      </c>
    </row>
    <row r="4081" spans="1:1">
      <c r="A4081" s="2">
        <v>3.66</v>
      </c>
    </row>
    <row r="4082" spans="1:1">
      <c r="A4082" s="2">
        <v>3.51</v>
      </c>
    </row>
    <row r="4083" spans="1:1">
      <c r="A4083" s="2">
        <v>3.78</v>
      </c>
    </row>
    <row r="4084" spans="1:1">
      <c r="A4084" s="2">
        <v>3.58</v>
      </c>
    </row>
    <row r="4085" spans="1:1">
      <c r="A4085" s="2">
        <v>3.54</v>
      </c>
    </row>
    <row r="4086" spans="1:1">
      <c r="A4086" s="2">
        <v>3.52</v>
      </c>
    </row>
    <row r="4087" spans="1:1">
      <c r="A4087" s="2">
        <v>3.78</v>
      </c>
    </row>
    <row r="4088" spans="1:1">
      <c r="A4088" s="2">
        <v>3.6</v>
      </c>
    </row>
    <row r="4089" spans="1:1">
      <c r="A4089" s="2">
        <v>3.63</v>
      </c>
    </row>
    <row r="4090" spans="1:1">
      <c r="A4090" s="2">
        <v>3.47</v>
      </c>
    </row>
    <row r="4091" spans="1:1">
      <c r="A4091" s="2">
        <v>3.78</v>
      </c>
    </row>
    <row r="4092" spans="1:1">
      <c r="A4092" s="2">
        <v>3.52</v>
      </c>
    </row>
    <row r="4093" spans="1:1">
      <c r="A4093" s="2">
        <v>3.61</v>
      </c>
    </row>
    <row r="4094" spans="1:1">
      <c r="A4094" s="2">
        <v>3.47</v>
      </c>
    </row>
    <row r="4095" spans="1:1">
      <c r="A4095" s="2">
        <v>3.63</v>
      </c>
    </row>
    <row r="4096" spans="1:1">
      <c r="A4096" s="2">
        <v>3.75</v>
      </c>
    </row>
    <row r="4097" spans="1:1">
      <c r="A4097" s="2">
        <v>3.47</v>
      </c>
    </row>
    <row r="4098" spans="1:1">
      <c r="A4098" s="2">
        <v>3.52</v>
      </c>
    </row>
    <row r="4099" spans="1:1">
      <c r="A4099" s="2">
        <v>3.52</v>
      </c>
    </row>
    <row r="4100" spans="1:1">
      <c r="A4100" s="2">
        <v>3.52</v>
      </c>
    </row>
    <row r="4101" spans="1:1">
      <c r="A4101" s="2">
        <v>3.76</v>
      </c>
    </row>
    <row r="4102" spans="1:1">
      <c r="A4102" s="2">
        <v>3.52</v>
      </c>
    </row>
    <row r="4103" spans="1:1">
      <c r="A4103" s="2">
        <v>3.51</v>
      </c>
    </row>
    <row r="4104" spans="1:1">
      <c r="A4104" s="2">
        <v>3.52</v>
      </c>
    </row>
    <row r="4105" spans="1:1">
      <c r="A4105" s="2">
        <v>3.52</v>
      </c>
    </row>
    <row r="4106" spans="1:1">
      <c r="A4106" s="2">
        <v>3.71</v>
      </c>
    </row>
    <row r="4107" spans="1:1">
      <c r="A4107" s="2">
        <v>3.43</v>
      </c>
    </row>
    <row r="4108" spans="1:1">
      <c r="A4108" s="2">
        <v>3.54</v>
      </c>
    </row>
    <row r="4109" spans="1:1">
      <c r="A4109" s="2">
        <v>3.52</v>
      </c>
    </row>
    <row r="4110" spans="1:1">
      <c r="A4110" s="2">
        <v>3.52</v>
      </c>
    </row>
    <row r="4111" spans="1:1">
      <c r="A4111" s="2">
        <v>3.42</v>
      </c>
    </row>
    <row r="4112" spans="1:1">
      <c r="A4112" s="2">
        <v>3.52</v>
      </c>
    </row>
    <row r="4113" spans="1:1">
      <c r="A4113" s="2">
        <v>3.52</v>
      </c>
    </row>
    <row r="4114" spans="1:1">
      <c r="A4114" s="2">
        <v>3.74</v>
      </c>
    </row>
    <row r="4115" spans="1:1">
      <c r="A4115" s="2">
        <v>3.43</v>
      </c>
    </row>
    <row r="4116" spans="1:1">
      <c r="A4116" s="2">
        <v>3.52</v>
      </c>
    </row>
    <row r="4117" spans="1:1">
      <c r="A4117" s="2">
        <v>3.46</v>
      </c>
    </row>
    <row r="4118" spans="1:1">
      <c r="A4118" s="2">
        <v>3.75</v>
      </c>
    </row>
    <row r="4119" spans="1:1">
      <c r="A4119" s="2">
        <v>3.52</v>
      </c>
    </row>
    <row r="4120" spans="1:1">
      <c r="A4120" s="2">
        <v>3.68</v>
      </c>
    </row>
    <row r="4121" spans="1:1">
      <c r="A4121" s="2">
        <v>3.52</v>
      </c>
    </row>
    <row r="4122" spans="1:1">
      <c r="A4122" s="2">
        <v>3.52</v>
      </c>
    </row>
    <row r="4123" spans="1:1">
      <c r="A4123" s="2">
        <v>3.76</v>
      </c>
    </row>
    <row r="4124" spans="1:1">
      <c r="A4124" s="2">
        <v>3.71</v>
      </c>
    </row>
    <row r="4125" spans="1:1">
      <c r="A4125" s="2">
        <v>3.65</v>
      </c>
    </row>
    <row r="4126" spans="1:1">
      <c r="A4126" s="2">
        <v>3.51</v>
      </c>
    </row>
    <row r="4127" spans="1:1">
      <c r="A4127" s="2">
        <v>3.52</v>
      </c>
    </row>
    <row r="4128" spans="1:1">
      <c r="A4128" s="2">
        <v>3.52</v>
      </c>
    </row>
    <row r="4129" spans="1:1">
      <c r="A4129" s="2">
        <v>3.52</v>
      </c>
    </row>
    <row r="4130" spans="1:1">
      <c r="A4130" s="2">
        <v>3.55</v>
      </c>
    </row>
    <row r="4131" spans="1:1">
      <c r="A4131" s="2">
        <v>3.7</v>
      </c>
    </row>
    <row r="4132" spans="1:1">
      <c r="A4132" s="2">
        <v>3.75</v>
      </c>
    </row>
    <row r="4133" spans="1:1">
      <c r="A4133" s="2">
        <v>3.52</v>
      </c>
    </row>
    <row r="4134" spans="1:1">
      <c r="A4134" s="2">
        <v>3.52</v>
      </c>
    </row>
    <row r="4135" spans="1:1">
      <c r="A4135" s="2">
        <v>3.52</v>
      </c>
    </row>
    <row r="4136" spans="1:1">
      <c r="A4136" s="2">
        <v>3.67</v>
      </c>
    </row>
    <row r="4137" spans="1:1">
      <c r="A4137" s="2">
        <v>3.53</v>
      </c>
    </row>
    <row r="4138" spans="1:1">
      <c r="A4138" s="2">
        <v>3.57</v>
      </c>
    </row>
    <row r="4139" spans="1:1">
      <c r="A4139" s="2">
        <v>3.52</v>
      </c>
    </row>
    <row r="4140" spans="1:1">
      <c r="A4140" s="2">
        <v>3.64</v>
      </c>
    </row>
    <row r="4141" spans="1:1">
      <c r="A4141" s="2">
        <v>3.51</v>
      </c>
    </row>
    <row r="4142" spans="1:1">
      <c r="A4142" s="2">
        <v>3.46</v>
      </c>
    </row>
    <row r="4143" spans="1:1">
      <c r="A4143" s="2">
        <v>3.78</v>
      </c>
    </row>
    <row r="4144" spans="1:1">
      <c r="A4144" s="2">
        <v>3.52</v>
      </c>
    </row>
    <row r="4145" spans="1:1">
      <c r="A4145" s="2">
        <v>3.52</v>
      </c>
    </row>
    <row r="4146" spans="1:1">
      <c r="A4146" s="2">
        <v>3.52</v>
      </c>
    </row>
    <row r="4147" spans="1:1">
      <c r="A4147" s="2">
        <v>3.52</v>
      </c>
    </row>
    <row r="4148" spans="1:1">
      <c r="A4148" s="2">
        <v>3.52</v>
      </c>
    </row>
    <row r="4149" spans="1:1">
      <c r="A4149" s="2">
        <v>3.52</v>
      </c>
    </row>
    <row r="4150" spans="1:1">
      <c r="A4150" s="2">
        <v>3.52</v>
      </c>
    </row>
    <row r="4151" spans="1:1">
      <c r="A4151" s="2">
        <v>3.75</v>
      </c>
    </row>
    <row r="4152" spans="1:1">
      <c r="A4152" s="2">
        <v>3.52</v>
      </c>
    </row>
    <row r="4153" spans="1:1">
      <c r="A4153" s="2">
        <v>3.48</v>
      </c>
    </row>
    <row r="4154" spans="1:1">
      <c r="A4154" s="2">
        <v>3.57</v>
      </c>
    </row>
    <row r="4155" spans="1:1">
      <c r="A4155" s="2">
        <v>3.43</v>
      </c>
    </row>
    <row r="4156" spans="1:1">
      <c r="A4156" s="2">
        <v>3.57</v>
      </c>
    </row>
    <row r="4157" spans="1:1">
      <c r="A4157" s="2">
        <v>3.52</v>
      </c>
    </row>
    <row r="4158" spans="1:1">
      <c r="A4158" s="2">
        <v>3.52</v>
      </c>
    </row>
    <row r="4159" spans="1:1">
      <c r="A4159" s="2">
        <v>3.47</v>
      </c>
    </row>
    <row r="4160" spans="1:1">
      <c r="A4160" s="2">
        <v>3.78</v>
      </c>
    </row>
    <row r="4161" spans="1:1">
      <c r="A4161" s="2">
        <v>3.58</v>
      </c>
    </row>
    <row r="4162" spans="1:1">
      <c r="A4162" s="2">
        <v>3.52</v>
      </c>
    </row>
    <row r="4163" spans="1:1">
      <c r="A4163" s="2">
        <v>3.51</v>
      </c>
    </row>
    <row r="4164" spans="1:1">
      <c r="A4164" s="2">
        <v>3.45</v>
      </c>
    </row>
    <row r="4165" spans="1:1">
      <c r="A4165" s="2">
        <v>3.52</v>
      </c>
    </row>
    <row r="4166" spans="1:1">
      <c r="A4166" s="2">
        <v>3.52</v>
      </c>
    </row>
    <row r="4167" spans="1:1">
      <c r="A4167" s="2">
        <v>3.52</v>
      </c>
    </row>
    <row r="4168" spans="1:1">
      <c r="A4168" s="2">
        <v>3.66</v>
      </c>
    </row>
    <row r="4169" spans="1:1">
      <c r="A4169" s="2">
        <v>3.78</v>
      </c>
    </row>
    <row r="4170" spans="1:1">
      <c r="A4170" s="2">
        <v>3.52</v>
      </c>
    </row>
    <row r="4171" spans="1:1">
      <c r="A4171" s="2">
        <v>3.52</v>
      </c>
    </row>
    <row r="4172" spans="1:1">
      <c r="A4172" s="2">
        <v>3.52</v>
      </c>
    </row>
    <row r="4173" spans="1:1">
      <c r="A4173" s="2">
        <v>3.52</v>
      </c>
    </row>
    <row r="4174" spans="1:1">
      <c r="A4174" s="2">
        <v>3.52</v>
      </c>
    </row>
    <row r="4175" spans="1:1">
      <c r="A4175" s="2">
        <v>3.52</v>
      </c>
    </row>
    <row r="4176" spans="1:1">
      <c r="A4176" s="2">
        <v>3.52</v>
      </c>
    </row>
    <row r="4177" spans="1:1">
      <c r="A4177" s="2">
        <v>3.51</v>
      </c>
    </row>
    <row r="4178" spans="1:1">
      <c r="A4178" s="2">
        <v>3.74</v>
      </c>
    </row>
    <row r="4179" spans="1:1">
      <c r="A4179" s="2">
        <v>3.7</v>
      </c>
    </row>
    <row r="4180" spans="1:1">
      <c r="A4180" s="2">
        <v>3.52</v>
      </c>
    </row>
    <row r="4181" spans="1:1">
      <c r="A4181" s="2">
        <v>3.78</v>
      </c>
    </row>
    <row r="4182" spans="1:1">
      <c r="A4182" s="2">
        <v>3.52</v>
      </c>
    </row>
    <row r="4183" spans="1:1">
      <c r="A4183" s="2">
        <v>3.79</v>
      </c>
    </row>
    <row r="4184" spans="1:1">
      <c r="A4184" s="2">
        <v>3.62</v>
      </c>
    </row>
    <row r="4185" spans="1:1">
      <c r="A4185" s="2">
        <v>3.5</v>
      </c>
    </row>
    <row r="4186" spans="1:1">
      <c r="A4186" s="2">
        <v>3.5</v>
      </c>
    </row>
    <row r="4187" spans="1:1">
      <c r="A4187" s="2">
        <v>3.72</v>
      </c>
    </row>
    <row r="4188" spans="1:1">
      <c r="A4188" s="2">
        <v>3.52</v>
      </c>
    </row>
    <row r="4189" spans="1:1">
      <c r="A4189" s="2">
        <v>3.6</v>
      </c>
    </row>
    <row r="4190" spans="1:1">
      <c r="A4190" s="2">
        <v>3.51</v>
      </c>
    </row>
    <row r="4191" spans="1:1">
      <c r="A4191" s="2">
        <v>3.52</v>
      </c>
    </row>
    <row r="4192" spans="1:1">
      <c r="A4192" s="2">
        <v>3.72</v>
      </c>
    </row>
    <row r="4193" spans="1:1">
      <c r="A4193" s="2">
        <v>3.48</v>
      </c>
    </row>
    <row r="4194" spans="1:1">
      <c r="A4194" s="2">
        <v>3.78</v>
      </c>
    </row>
    <row r="4195" spans="1:1">
      <c r="A4195" s="2">
        <v>3.75</v>
      </c>
    </row>
    <row r="4196" spans="1:1">
      <c r="A4196" s="2">
        <v>3.52</v>
      </c>
    </row>
    <row r="4197" spans="1:1">
      <c r="A4197" s="2">
        <v>3.52</v>
      </c>
    </row>
    <row r="4198" spans="1:1">
      <c r="A4198" s="2">
        <v>3.62</v>
      </c>
    </row>
    <row r="4199" spans="1:1">
      <c r="A4199" s="2">
        <v>3.74</v>
      </c>
    </row>
    <row r="4200" spans="1:1">
      <c r="A4200" s="2">
        <v>3.52</v>
      </c>
    </row>
    <row r="4201" spans="1:1">
      <c r="A4201" s="2">
        <v>3.52</v>
      </c>
    </row>
    <row r="4202" spans="1:1">
      <c r="A4202" s="2">
        <v>3.48</v>
      </c>
    </row>
    <row r="4203" spans="1:1">
      <c r="A4203" s="2">
        <v>3.52</v>
      </c>
    </row>
    <row r="4204" spans="1:1">
      <c r="A4204" s="2">
        <v>3.75</v>
      </c>
    </row>
    <row r="4205" spans="1:1">
      <c r="A4205" s="2">
        <v>3.52</v>
      </c>
    </row>
    <row r="4206" spans="1:1">
      <c r="A4206" s="2">
        <v>3.78</v>
      </c>
    </row>
    <row r="4207" spans="1:1">
      <c r="A4207" s="2">
        <v>3.64</v>
      </c>
    </row>
    <row r="4208" spans="1:1">
      <c r="A4208" s="2">
        <v>3.78</v>
      </c>
    </row>
    <row r="4209" spans="1:1">
      <c r="A4209" s="2">
        <v>3.52</v>
      </c>
    </row>
    <row r="4210" spans="1:1">
      <c r="A4210" s="2">
        <v>3.52</v>
      </c>
    </row>
    <row r="4211" spans="1:1">
      <c r="A4211" s="2">
        <v>3.73</v>
      </c>
    </row>
    <row r="4212" spans="1:1">
      <c r="A4212" s="2">
        <v>3.64</v>
      </c>
    </row>
    <row r="4213" spans="1:1">
      <c r="A4213" s="2">
        <v>3.57</v>
      </c>
    </row>
    <row r="4214" spans="1:1">
      <c r="A4214" s="2">
        <v>3.52</v>
      </c>
    </row>
    <row r="4215" spans="1:1">
      <c r="A4215" s="2">
        <v>3.52</v>
      </c>
    </row>
    <row r="4216" spans="1:1">
      <c r="A4216" s="2">
        <v>3.52</v>
      </c>
    </row>
    <row r="4217" spans="1:1">
      <c r="A4217" s="2">
        <v>3.62</v>
      </c>
    </row>
    <row r="4218" spans="1:1">
      <c r="A4218" s="2">
        <v>3.49</v>
      </c>
    </row>
    <row r="4219" spans="1:1">
      <c r="A4219" s="2">
        <v>3.77</v>
      </c>
    </row>
    <row r="4220" spans="1:1">
      <c r="A4220" s="2">
        <v>3.45</v>
      </c>
    </row>
    <row r="4221" spans="1:1">
      <c r="A4221" s="2">
        <v>3.71</v>
      </c>
    </row>
    <row r="4222" spans="1:1">
      <c r="A4222" s="2">
        <v>3.52</v>
      </c>
    </row>
    <row r="4223" spans="1:1">
      <c r="A4223" s="2">
        <v>3.7</v>
      </c>
    </row>
    <row r="4224" spans="1:1">
      <c r="A4224" s="2">
        <v>3.43</v>
      </c>
    </row>
    <row r="4225" spans="1:1">
      <c r="A4225" s="2">
        <v>3.51</v>
      </c>
    </row>
    <row r="4226" spans="1:1">
      <c r="A4226" s="2">
        <v>3.67</v>
      </c>
    </row>
    <row r="4227" spans="1:1">
      <c r="A4227" s="2">
        <v>3.52</v>
      </c>
    </row>
    <row r="4228" spans="1:1">
      <c r="A4228" s="2">
        <v>3.78</v>
      </c>
    </row>
    <row r="4229" spans="1:1">
      <c r="A4229" s="2">
        <v>3.48</v>
      </c>
    </row>
    <row r="4230" spans="1:1">
      <c r="A4230" s="2">
        <v>3.52</v>
      </c>
    </row>
    <row r="4231" spans="1:1">
      <c r="A4231" s="2">
        <v>3.52</v>
      </c>
    </row>
    <row r="4232" spans="1:1">
      <c r="A4232" s="2">
        <v>3.82</v>
      </c>
    </row>
    <row r="4233" spans="1:1">
      <c r="A4233" s="2">
        <v>3.46</v>
      </c>
    </row>
    <row r="4234" spans="1:1">
      <c r="A4234" s="2">
        <v>3.52</v>
      </c>
    </row>
    <row r="4235" spans="1:1">
      <c r="A4235" s="2">
        <v>3.52</v>
      </c>
    </row>
    <row r="4236" spans="1:1">
      <c r="A4236" s="2">
        <v>3.76</v>
      </c>
    </row>
    <row r="4237" spans="1:1">
      <c r="A4237" s="2">
        <v>3.66</v>
      </c>
    </row>
    <row r="4238" spans="1:1">
      <c r="A4238" s="2">
        <v>3.58</v>
      </c>
    </row>
    <row r="4239" spans="1:1">
      <c r="A4239" s="2">
        <v>3.5</v>
      </c>
    </row>
    <row r="4240" spans="1:1">
      <c r="A4240" s="2">
        <v>3.52</v>
      </c>
    </row>
    <row r="4241" spans="1:1">
      <c r="A4241" s="2">
        <v>3.52</v>
      </c>
    </row>
    <row r="4242" spans="1:1">
      <c r="A4242" s="2">
        <v>3.46</v>
      </c>
    </row>
    <row r="4243" spans="1:1">
      <c r="A4243" s="2">
        <v>3.69</v>
      </c>
    </row>
    <row r="4244" spans="1:1">
      <c r="A4244" s="2">
        <v>3.43</v>
      </c>
    </row>
    <row r="4245" spans="1:1">
      <c r="A4245" s="2">
        <v>3.41</v>
      </c>
    </row>
    <row r="4246" spans="1:1">
      <c r="A4246" s="2">
        <v>3.61</v>
      </c>
    </row>
    <row r="4247" spans="1:1">
      <c r="A4247" s="2">
        <v>3.69</v>
      </c>
    </row>
    <row r="4248" spans="1:1">
      <c r="A4248" s="2">
        <v>3.52</v>
      </c>
    </row>
    <row r="4249" spans="1:1">
      <c r="A4249" s="2">
        <v>3.73</v>
      </c>
    </row>
    <row r="4250" spans="1:1">
      <c r="A4250" s="2">
        <v>3.51</v>
      </c>
    </row>
    <row r="4251" spans="1:1">
      <c r="A4251" s="2">
        <v>3.64</v>
      </c>
    </row>
    <row r="4252" spans="1:1">
      <c r="A4252" s="2">
        <v>3.54</v>
      </c>
    </row>
    <row r="4253" spans="1:1">
      <c r="A4253" s="2">
        <v>3.52</v>
      </c>
    </row>
    <row r="4254" spans="1:1">
      <c r="A4254" s="2">
        <v>3.59</v>
      </c>
    </row>
    <row r="4255" spans="1:1">
      <c r="A4255" s="2">
        <v>3.49</v>
      </c>
    </row>
    <row r="4256" spans="1:1">
      <c r="A4256" s="2">
        <v>3.52</v>
      </c>
    </row>
    <row r="4257" spans="1:1">
      <c r="A4257" s="2">
        <v>3.73</v>
      </c>
    </row>
    <row r="4258" spans="1:1">
      <c r="A4258" s="2">
        <v>3.68</v>
      </c>
    </row>
    <row r="4259" spans="1:1">
      <c r="A4259" s="2">
        <v>3.52</v>
      </c>
    </row>
    <row r="4260" spans="1:1">
      <c r="A4260" s="2">
        <v>3.52</v>
      </c>
    </row>
    <row r="4261" spans="1:1">
      <c r="A4261" s="2">
        <v>3.75</v>
      </c>
    </row>
    <row r="4262" spans="1:1">
      <c r="A4262" s="2">
        <v>3.48</v>
      </c>
    </row>
    <row r="4263" spans="1:1">
      <c r="A4263" s="2">
        <v>3.78</v>
      </c>
    </row>
    <row r="4264" spans="1:1">
      <c r="A4264" s="2">
        <v>3.45</v>
      </c>
    </row>
    <row r="4265" spans="1:1">
      <c r="A4265" s="2">
        <v>3.44</v>
      </c>
    </row>
    <row r="4266" spans="1:1">
      <c r="A4266" s="2">
        <v>3.7</v>
      </c>
    </row>
    <row r="4267" spans="1:1">
      <c r="A4267" s="2">
        <v>3.52</v>
      </c>
    </row>
    <row r="4268" spans="1:1">
      <c r="A4268" s="2">
        <v>3.52</v>
      </c>
    </row>
    <row r="4269" spans="1:1">
      <c r="A4269" s="2">
        <v>3.52</v>
      </c>
    </row>
    <row r="4270" spans="1:1">
      <c r="A4270" s="2">
        <v>3.41</v>
      </c>
    </row>
    <row r="4271" spans="1:1">
      <c r="A4271" s="2">
        <v>3.7</v>
      </c>
    </row>
    <row r="4272" spans="1:1">
      <c r="A4272" s="2">
        <v>3.52</v>
      </c>
    </row>
    <row r="4273" spans="1:1">
      <c r="A4273" s="2">
        <v>3.52</v>
      </c>
    </row>
    <row r="4274" spans="1:1">
      <c r="A4274" s="2">
        <v>3.52</v>
      </c>
    </row>
    <row r="4275" spans="1:1">
      <c r="A4275" s="2">
        <v>3.52</v>
      </c>
    </row>
    <row r="4276" spans="1:1">
      <c r="A4276" s="2">
        <v>3.42</v>
      </c>
    </row>
    <row r="4277" spans="1:1">
      <c r="A4277" s="2">
        <v>3.68</v>
      </c>
    </row>
    <row r="4278" spans="1:1">
      <c r="A4278" s="2">
        <v>3.52</v>
      </c>
    </row>
    <row r="4279" spans="1:1">
      <c r="A4279" s="2">
        <v>3.52</v>
      </c>
    </row>
    <row r="4280" spans="1:1">
      <c r="A4280" s="2">
        <v>3.52</v>
      </c>
    </row>
    <row r="4281" spans="1:1">
      <c r="A4281" s="2">
        <v>3.79</v>
      </c>
    </row>
    <row r="4282" spans="1:1">
      <c r="A4282" s="2">
        <v>3.41</v>
      </c>
    </row>
    <row r="4283" spans="1:1">
      <c r="A4283" s="2">
        <v>3.45</v>
      </c>
    </row>
    <row r="4284" spans="1:1">
      <c r="A4284" s="2">
        <v>3.78</v>
      </c>
    </row>
    <row r="4285" spans="1:1">
      <c r="A4285" s="2">
        <v>3.52</v>
      </c>
    </row>
    <row r="4286" spans="1:1">
      <c r="A4286" s="2">
        <v>3.52</v>
      </c>
    </row>
    <row r="4287" spans="1:1">
      <c r="A4287" s="2">
        <v>3.52</v>
      </c>
    </row>
    <row r="4288" spans="1:1">
      <c r="A4288" s="2">
        <v>3.8</v>
      </c>
    </row>
    <row r="4289" spans="1:1">
      <c r="A4289" s="2">
        <v>3.75</v>
      </c>
    </row>
    <row r="4290" spans="1:1">
      <c r="A4290" s="2">
        <v>3.52</v>
      </c>
    </row>
    <row r="4291" spans="1:1">
      <c r="A4291" s="2">
        <v>3.77</v>
      </c>
    </row>
    <row r="4292" spans="1:1">
      <c r="A4292" s="2">
        <v>3.51</v>
      </c>
    </row>
    <row r="4293" spans="1:1">
      <c r="A4293" s="2">
        <v>3.59</v>
      </c>
    </row>
    <row r="4294" spans="1:1">
      <c r="A4294" s="2">
        <v>3.5</v>
      </c>
    </row>
    <row r="4295" spans="1:1">
      <c r="A4295" s="2">
        <v>3.66</v>
      </c>
    </row>
    <row r="4296" spans="1:1">
      <c r="A4296" s="2">
        <v>3.79</v>
      </c>
    </row>
    <row r="4297" spans="1:1">
      <c r="A4297" s="2">
        <v>3.52</v>
      </c>
    </row>
    <row r="4298" spans="1:1">
      <c r="A4298" s="2">
        <v>3.71</v>
      </c>
    </row>
    <row r="4299" spans="1:1">
      <c r="A4299" s="2">
        <v>3.7</v>
      </c>
    </row>
    <row r="4300" spans="1:1">
      <c r="A4300" s="2">
        <v>3.52</v>
      </c>
    </row>
    <row r="4301" spans="1:1">
      <c r="A4301" s="2">
        <v>3.74</v>
      </c>
    </row>
    <row r="4302" spans="1:1">
      <c r="A4302" s="2">
        <v>3.51</v>
      </c>
    </row>
    <row r="4303" spans="1:1">
      <c r="A4303" s="2">
        <v>3.63</v>
      </c>
    </row>
    <row r="4304" spans="1:1">
      <c r="A4304" s="2">
        <v>3.44</v>
      </c>
    </row>
    <row r="4305" spans="1:1">
      <c r="A4305" s="2">
        <v>3.52</v>
      </c>
    </row>
    <row r="4306" spans="1:1">
      <c r="A4306" s="2">
        <v>3.61</v>
      </c>
    </row>
    <row r="4307" spans="1:1">
      <c r="A4307" s="2">
        <v>3.52</v>
      </c>
    </row>
    <row r="4308" spans="1:1">
      <c r="A4308" s="2">
        <v>3.52</v>
      </c>
    </row>
    <row r="4309" spans="1:1">
      <c r="A4309" s="2">
        <v>3.52</v>
      </c>
    </row>
    <row r="4310" spans="1:1">
      <c r="A4310" s="2">
        <v>3.49</v>
      </c>
    </row>
    <row r="4311" spans="1:1">
      <c r="A4311" s="2">
        <v>3.52</v>
      </c>
    </row>
    <row r="4312" spans="1:1">
      <c r="A4312" s="2">
        <v>3.43</v>
      </c>
    </row>
    <row r="4313" spans="1:1">
      <c r="A4313" s="2">
        <v>3.66</v>
      </c>
    </row>
    <row r="4314" spans="1:1">
      <c r="A4314" s="2">
        <v>3.63</v>
      </c>
    </row>
    <row r="4315" spans="1:1">
      <c r="A4315" s="2">
        <v>3.78</v>
      </c>
    </row>
    <row r="4316" spans="1:1">
      <c r="A4316" s="2">
        <v>3.75</v>
      </c>
    </row>
    <row r="4317" spans="1:1">
      <c r="A4317" s="2">
        <v>3.75</v>
      </c>
    </row>
    <row r="4318" spans="1:1">
      <c r="A4318" s="2">
        <v>3.62</v>
      </c>
    </row>
    <row r="4319" spans="1:1">
      <c r="A4319" s="2">
        <v>3.42</v>
      </c>
    </row>
    <row r="4320" spans="1:1">
      <c r="A4320" s="2">
        <v>3.52</v>
      </c>
    </row>
    <row r="4321" spans="1:1">
      <c r="A4321" s="2">
        <v>3.52</v>
      </c>
    </row>
    <row r="4322" spans="1:1">
      <c r="A4322" s="2">
        <v>3.52</v>
      </c>
    </row>
    <row r="4323" spans="1:1">
      <c r="A4323" s="2">
        <v>3.46</v>
      </c>
    </row>
    <row r="4324" spans="1:1">
      <c r="A4324" s="2">
        <v>3.61</v>
      </c>
    </row>
    <row r="4325" spans="1:1">
      <c r="A4325" s="2">
        <v>3.78</v>
      </c>
    </row>
    <row r="4326" spans="1:1">
      <c r="A4326" s="2">
        <v>3.59</v>
      </c>
    </row>
    <row r="4327" spans="1:1">
      <c r="A4327" s="2">
        <v>3.44</v>
      </c>
    </row>
    <row r="4328" spans="1:1">
      <c r="A4328" s="2">
        <v>3.52</v>
      </c>
    </row>
    <row r="4329" spans="1:1">
      <c r="A4329" s="2">
        <v>3.56</v>
      </c>
    </row>
    <row r="4330" spans="1:1">
      <c r="A4330" s="2">
        <v>3.67</v>
      </c>
    </row>
    <row r="4331" spans="1:1">
      <c r="A4331" s="2">
        <v>3.42</v>
      </c>
    </row>
    <row r="4332" spans="1:1">
      <c r="A4332" s="2">
        <v>3.78</v>
      </c>
    </row>
    <row r="4333" spans="1:1">
      <c r="A4333" s="2">
        <v>3.67</v>
      </c>
    </row>
    <row r="4334" spans="1:1">
      <c r="A4334" s="2">
        <v>3.49</v>
      </c>
    </row>
    <row r="4335" spans="1:1">
      <c r="A4335" s="2">
        <v>3.53</v>
      </c>
    </row>
    <row r="4336" spans="1:1">
      <c r="A4336" s="2">
        <v>3.52</v>
      </c>
    </row>
    <row r="4337" spans="1:1">
      <c r="A4337" s="2">
        <v>3.54</v>
      </c>
    </row>
    <row r="4338" spans="1:1">
      <c r="A4338" s="2">
        <v>3.52</v>
      </c>
    </row>
    <row r="4339" spans="1:1">
      <c r="A4339" s="2">
        <v>3.52</v>
      </c>
    </row>
    <row r="4340" spans="1:1">
      <c r="A4340" s="2">
        <v>3.51</v>
      </c>
    </row>
    <row r="4341" spans="1:1">
      <c r="A4341" s="2">
        <v>3.59</v>
      </c>
    </row>
    <row r="4342" spans="1:1">
      <c r="A4342" s="2">
        <v>3.52</v>
      </c>
    </row>
    <row r="4343" spans="1:1">
      <c r="A4343" s="2">
        <v>3.51</v>
      </c>
    </row>
    <row r="4344" spans="1:1">
      <c r="A4344" s="2">
        <v>3.52</v>
      </c>
    </row>
    <row r="4345" spans="1:1">
      <c r="A4345" s="2">
        <v>3.52</v>
      </c>
    </row>
    <row r="4346" spans="1:1">
      <c r="A4346" s="2">
        <v>3.73</v>
      </c>
    </row>
    <row r="4347" spans="1:1">
      <c r="A4347" s="2">
        <v>3.59</v>
      </c>
    </row>
    <row r="4348" spans="1:1">
      <c r="A4348" s="2">
        <v>3.68</v>
      </c>
    </row>
    <row r="4349" spans="1:1">
      <c r="A4349" s="2">
        <v>3.47</v>
      </c>
    </row>
    <row r="4350" spans="1:1">
      <c r="A4350" s="2">
        <v>3.42</v>
      </c>
    </row>
    <row r="4351" spans="1:1">
      <c r="A4351" s="2">
        <v>3.73</v>
      </c>
    </row>
    <row r="4352" spans="1:1">
      <c r="A4352" s="2">
        <v>3.78</v>
      </c>
    </row>
    <row r="4353" spans="1:1">
      <c r="A4353" s="2">
        <v>3.5</v>
      </c>
    </row>
    <row r="4354" spans="1:1">
      <c r="A4354" s="2">
        <v>3.57</v>
      </c>
    </row>
    <row r="4355" spans="1:1">
      <c r="A4355" s="2">
        <v>3.65</v>
      </c>
    </row>
    <row r="4356" spans="1:1">
      <c r="A4356" s="2">
        <v>3.52</v>
      </c>
    </row>
    <row r="4357" spans="1:1">
      <c r="A4357" s="2">
        <v>3.52</v>
      </c>
    </row>
    <row r="4358" spans="1:1">
      <c r="A4358" s="2">
        <v>3.55</v>
      </c>
    </row>
    <row r="4359" spans="1:1">
      <c r="A4359" s="2">
        <v>3.44</v>
      </c>
    </row>
    <row r="4360" spans="1:1">
      <c r="A4360" s="2">
        <v>3.52</v>
      </c>
    </row>
    <row r="4361" spans="1:1">
      <c r="A4361" s="2">
        <v>3.59</v>
      </c>
    </row>
    <row r="4362" spans="1:1">
      <c r="A4362" s="2">
        <v>3.52</v>
      </c>
    </row>
    <row r="4363" spans="1:1">
      <c r="A4363" s="2">
        <v>3.67</v>
      </c>
    </row>
    <row r="4364" spans="1:1">
      <c r="A4364" s="2">
        <v>3.52</v>
      </c>
    </row>
    <row r="4365" spans="1:1">
      <c r="A4365" s="2">
        <v>3.61</v>
      </c>
    </row>
    <row r="4366" spans="1:1">
      <c r="A4366" s="2">
        <v>3.71</v>
      </c>
    </row>
    <row r="4367" spans="1:1">
      <c r="A4367" s="2">
        <v>3.51</v>
      </c>
    </row>
    <row r="4368" spans="1:1">
      <c r="A4368" s="2">
        <v>3.52</v>
      </c>
    </row>
    <row r="4369" spans="1:1">
      <c r="A4369" s="2">
        <v>3.47</v>
      </c>
    </row>
    <row r="4370" spans="1:1">
      <c r="A4370" s="2">
        <v>3.59</v>
      </c>
    </row>
    <row r="4371" spans="1:1">
      <c r="A4371" s="2">
        <v>3.78</v>
      </c>
    </row>
    <row r="4372" spans="1:1">
      <c r="A4372" s="2">
        <v>3.78</v>
      </c>
    </row>
    <row r="4373" spans="1:1">
      <c r="A4373" s="2">
        <v>3.52</v>
      </c>
    </row>
    <row r="4374" spans="1:1">
      <c r="A4374" s="2">
        <v>3.41</v>
      </c>
    </row>
    <row r="4375" spans="1:1">
      <c r="A4375" s="2">
        <v>3.52</v>
      </c>
    </row>
    <row r="4376" spans="1:1">
      <c r="A4376" s="2">
        <v>3.73</v>
      </c>
    </row>
    <row r="4377" spans="1:1">
      <c r="A4377" s="2">
        <v>3.52</v>
      </c>
    </row>
    <row r="4378" spans="1:1">
      <c r="A4378" s="2">
        <v>3.77</v>
      </c>
    </row>
    <row r="4379" spans="1:1">
      <c r="A4379" s="2">
        <v>3.52</v>
      </c>
    </row>
    <row r="4380" spans="1:1">
      <c r="A4380" s="2">
        <v>3.52</v>
      </c>
    </row>
    <row r="4381" spans="1:1">
      <c r="A4381" s="2">
        <v>3.52</v>
      </c>
    </row>
    <row r="4382" spans="1:1">
      <c r="A4382" s="2">
        <v>3.45</v>
      </c>
    </row>
    <row r="4383" spans="1:1">
      <c r="A4383" s="2">
        <v>3.52</v>
      </c>
    </row>
    <row r="4384" spans="1:1">
      <c r="A4384" s="2">
        <v>3.51</v>
      </c>
    </row>
    <row r="4385" spans="1:1">
      <c r="A4385" s="2">
        <v>3.59</v>
      </c>
    </row>
    <row r="4386" spans="1:1">
      <c r="A4386" s="2">
        <v>3.61</v>
      </c>
    </row>
    <row r="4387" spans="1:1">
      <c r="A4387" s="2">
        <v>3.78</v>
      </c>
    </row>
    <row r="4388" spans="1:1">
      <c r="A4388" s="2">
        <v>3.52</v>
      </c>
    </row>
    <row r="4389" spans="1:1">
      <c r="A4389" s="2">
        <v>3.52</v>
      </c>
    </row>
    <row r="4390" spans="1:1">
      <c r="A4390" s="2">
        <v>3.78</v>
      </c>
    </row>
    <row r="4391" spans="1:1">
      <c r="A4391" s="2">
        <v>3.67</v>
      </c>
    </row>
    <row r="4392" spans="1:1">
      <c r="A4392" s="2">
        <v>3.62</v>
      </c>
    </row>
    <row r="4393" spans="1:1">
      <c r="A4393" s="2">
        <v>3.54</v>
      </c>
    </row>
    <row r="4394" spans="1:1">
      <c r="A4394" s="2">
        <v>3.68</v>
      </c>
    </row>
    <row r="4395" spans="1:1">
      <c r="A4395" s="2">
        <v>3.52</v>
      </c>
    </row>
    <row r="4396" spans="1:1">
      <c r="A4396" s="2">
        <v>3.55</v>
      </c>
    </row>
    <row r="4397" spans="1:1">
      <c r="A4397" s="2">
        <v>3.67</v>
      </c>
    </row>
    <row r="4398" spans="1:1">
      <c r="A4398" s="2">
        <v>3.52</v>
      </c>
    </row>
    <row r="4399" spans="1:1">
      <c r="A4399" s="2">
        <v>3.63</v>
      </c>
    </row>
    <row r="4400" spans="1:1">
      <c r="A4400" s="2">
        <v>3.72</v>
      </c>
    </row>
    <row r="4401" spans="1:1">
      <c r="A4401" s="2">
        <v>3.76</v>
      </c>
    </row>
    <row r="4402" spans="1:1">
      <c r="A4402" s="2">
        <v>3.69</v>
      </c>
    </row>
    <row r="4403" spans="1:1">
      <c r="A4403" s="2">
        <v>3.51</v>
      </c>
    </row>
    <row r="4404" spans="1:1">
      <c r="A4404" s="2">
        <v>3.46</v>
      </c>
    </row>
    <row r="4405" spans="1:1">
      <c r="A4405" s="2">
        <v>3.52</v>
      </c>
    </row>
    <row r="4406" spans="1:1">
      <c r="A4406" s="2">
        <v>3.52</v>
      </c>
    </row>
    <row r="4407" spans="1:1">
      <c r="A4407" s="2">
        <v>3.52</v>
      </c>
    </row>
    <row r="4408" spans="1:1">
      <c r="A4408" s="2">
        <v>3.52</v>
      </c>
    </row>
    <row r="4409" spans="1:1">
      <c r="A4409" s="2">
        <v>3.66</v>
      </c>
    </row>
    <row r="4410" spans="1:1">
      <c r="A4410" s="2">
        <v>3.65</v>
      </c>
    </row>
    <row r="4411" spans="1:1">
      <c r="A4411" s="2">
        <v>3.76</v>
      </c>
    </row>
    <row r="4412" spans="1:1">
      <c r="A4412" s="2">
        <v>3.78</v>
      </c>
    </row>
    <row r="4413" spans="1:1">
      <c r="A4413" s="2">
        <v>3.52</v>
      </c>
    </row>
    <row r="4414" spans="1:1">
      <c r="A4414" s="2">
        <v>3.41</v>
      </c>
    </row>
    <row r="4415" spans="1:1">
      <c r="A4415" s="2">
        <v>3.52</v>
      </c>
    </row>
    <row r="4416" spans="1:1">
      <c r="A4416" s="2">
        <v>3.52</v>
      </c>
    </row>
    <row r="4417" spans="1:1">
      <c r="A4417" s="2">
        <v>3.51</v>
      </c>
    </row>
    <row r="4418" spans="1:1">
      <c r="A4418" s="2">
        <v>3.41</v>
      </c>
    </row>
    <row r="4419" spans="1:1">
      <c r="A4419" s="2">
        <v>3.74</v>
      </c>
    </row>
    <row r="4420" spans="1:1">
      <c r="A4420" s="2">
        <v>3.52</v>
      </c>
    </row>
    <row r="4421" spans="1:1">
      <c r="A4421" s="2">
        <v>3.52</v>
      </c>
    </row>
    <row r="4422" spans="1:1">
      <c r="A4422" s="2">
        <v>3.52</v>
      </c>
    </row>
    <row r="4423" spans="1:1">
      <c r="A4423" s="2">
        <v>3.52</v>
      </c>
    </row>
    <row r="4424" spans="1:1">
      <c r="A4424" s="2">
        <v>3.65</v>
      </c>
    </row>
    <row r="4425" spans="1:1">
      <c r="A4425" s="2">
        <v>3.52</v>
      </c>
    </row>
    <row r="4426" spans="1:1">
      <c r="A4426" s="2">
        <v>3.51</v>
      </c>
    </row>
    <row r="4427" spans="1:1">
      <c r="A4427" s="2">
        <v>3.52</v>
      </c>
    </row>
    <row r="4428" spans="1:1">
      <c r="A4428" s="2">
        <v>3.59</v>
      </c>
    </row>
    <row r="4429" spans="1:1">
      <c r="A4429" s="2">
        <v>3.81</v>
      </c>
    </row>
    <row r="4430" spans="1:1">
      <c r="A4430" s="2">
        <v>3.55</v>
      </c>
    </row>
    <row r="4431" spans="1:1">
      <c r="A4431" s="2">
        <v>3.52</v>
      </c>
    </row>
    <row r="4432" spans="1:1">
      <c r="A4432" s="2">
        <v>3.53</v>
      </c>
    </row>
    <row r="4433" spans="1:1">
      <c r="A4433" s="2">
        <v>3.52</v>
      </c>
    </row>
    <row r="4434" spans="1:1">
      <c r="A4434" s="2">
        <v>3.52</v>
      </c>
    </row>
    <row r="4435" spans="1:1">
      <c r="A4435" s="2">
        <v>3.64</v>
      </c>
    </row>
    <row r="4436" spans="1:1">
      <c r="A4436" s="2">
        <v>3.43</v>
      </c>
    </row>
    <row r="4437" spans="1:1">
      <c r="A4437" s="2">
        <v>3.52</v>
      </c>
    </row>
    <row r="4438" spans="1:1">
      <c r="A4438" s="2">
        <v>3.52</v>
      </c>
    </row>
    <row r="4439" spans="1:1">
      <c r="A4439" s="2">
        <v>3.48</v>
      </c>
    </row>
    <row r="4440" spans="1:1">
      <c r="A4440" s="2">
        <v>3.52</v>
      </c>
    </row>
    <row r="4441" spans="1:1">
      <c r="A4441" s="2">
        <v>3.78</v>
      </c>
    </row>
    <row r="4442" spans="1:1">
      <c r="A4442" s="2">
        <v>3.52</v>
      </c>
    </row>
    <row r="4443" spans="1:1">
      <c r="A4443" s="2">
        <v>3.74</v>
      </c>
    </row>
    <row r="4444" spans="1:1">
      <c r="A4444" s="2">
        <v>3.63</v>
      </c>
    </row>
    <row r="4445" spans="1:1">
      <c r="A4445" s="2">
        <v>3.64</v>
      </c>
    </row>
    <row r="4446" spans="1:1">
      <c r="A4446" s="2">
        <v>3.52</v>
      </c>
    </row>
    <row r="4447" spans="1:1">
      <c r="A4447" s="2">
        <v>3.52</v>
      </c>
    </row>
    <row r="4448" spans="1:1">
      <c r="A4448" s="2">
        <v>3.52</v>
      </c>
    </row>
    <row r="4449" spans="1:1">
      <c r="A4449" s="2">
        <v>3.52</v>
      </c>
    </row>
    <row r="4450" spans="1:1">
      <c r="A4450" s="2">
        <v>3.42</v>
      </c>
    </row>
    <row r="4451" spans="1:1">
      <c r="A4451" s="2">
        <v>3.8</v>
      </c>
    </row>
    <row r="4452" spans="1:1">
      <c r="A4452" s="2">
        <v>3.51</v>
      </c>
    </row>
    <row r="4453" spans="1:1">
      <c r="A4453" s="2">
        <v>3.45</v>
      </c>
    </row>
    <row r="4454" spans="1:1">
      <c r="A4454" s="2">
        <v>3.77</v>
      </c>
    </row>
    <row r="4455" spans="1:1">
      <c r="A4455" s="2">
        <v>3.52</v>
      </c>
    </row>
    <row r="4456" spans="1:1">
      <c r="A4456" s="2">
        <v>3.52</v>
      </c>
    </row>
    <row r="4457" spans="1:1">
      <c r="A4457" s="2">
        <v>3.5</v>
      </c>
    </row>
    <row r="4458" spans="1:1">
      <c r="A4458" s="2">
        <v>3.52</v>
      </c>
    </row>
    <row r="4459" spans="1:1">
      <c r="A4459" s="2">
        <v>3.63</v>
      </c>
    </row>
    <row r="4460" spans="1:1">
      <c r="A4460" s="2">
        <v>3.66</v>
      </c>
    </row>
    <row r="4461" spans="1:1">
      <c r="A4461" s="2">
        <v>3.71</v>
      </c>
    </row>
    <row r="4462" spans="1:1">
      <c r="A4462" s="2">
        <v>3.54</v>
      </c>
    </row>
    <row r="4463" spans="1:1">
      <c r="A4463" s="2">
        <v>3.64</v>
      </c>
    </row>
    <row r="4464" spans="1:1">
      <c r="A4464" s="2">
        <v>3.51</v>
      </c>
    </row>
    <row r="4465" spans="1:1">
      <c r="A4465" s="2">
        <v>3.61</v>
      </c>
    </row>
    <row r="4466" spans="1:1">
      <c r="A4466" s="2">
        <v>3.52</v>
      </c>
    </row>
    <row r="4467" spans="1:1">
      <c r="A4467" s="2">
        <v>3.45</v>
      </c>
    </row>
    <row r="4468" spans="1:1">
      <c r="A4468" s="2">
        <v>3.77</v>
      </c>
    </row>
    <row r="4469" spans="1:1">
      <c r="A4469" s="2">
        <v>3.59</v>
      </c>
    </row>
    <row r="4470" spans="1:1">
      <c r="A4470" s="2">
        <v>3.75</v>
      </c>
    </row>
    <row r="4471" spans="1:1">
      <c r="A4471" s="2">
        <v>3.52</v>
      </c>
    </row>
    <row r="4472" spans="1:1">
      <c r="A4472" s="2">
        <v>3.43</v>
      </c>
    </row>
    <row r="4473" spans="1:1">
      <c r="A4473" s="2">
        <v>3.61</v>
      </c>
    </row>
    <row r="4474" spans="1:1">
      <c r="A4474" s="2">
        <v>3.52</v>
      </c>
    </row>
    <row r="4475" spans="1:1">
      <c r="A4475" s="2">
        <v>3.51</v>
      </c>
    </row>
    <row r="4476" spans="1:1">
      <c r="A4476" s="2">
        <v>3.78</v>
      </c>
    </row>
    <row r="4477" spans="1:1">
      <c r="A4477" s="2">
        <v>3.77</v>
      </c>
    </row>
    <row r="4478" spans="1:1">
      <c r="A4478" s="2">
        <v>3.52</v>
      </c>
    </row>
    <row r="4479" spans="1:1">
      <c r="A4479" s="2">
        <v>3.52</v>
      </c>
    </row>
    <row r="4480" spans="1:1">
      <c r="A4480" s="2">
        <v>3.52</v>
      </c>
    </row>
    <row r="4481" spans="1:1">
      <c r="A4481" s="2">
        <v>3.5</v>
      </c>
    </row>
    <row r="4482" spans="1:1">
      <c r="A4482" s="2">
        <v>3.52</v>
      </c>
    </row>
    <row r="4483" spans="1:1">
      <c r="A4483" s="2">
        <v>3.76</v>
      </c>
    </row>
    <row r="4484" spans="1:1">
      <c r="A4484" s="2">
        <v>3.45</v>
      </c>
    </row>
    <row r="4485" spans="1:1">
      <c r="A4485" s="2">
        <v>3.52</v>
      </c>
    </row>
    <row r="4486" spans="1:1">
      <c r="A4486" s="2">
        <v>3.48</v>
      </c>
    </row>
    <row r="4487" spans="1:1">
      <c r="A4487" s="2">
        <v>3.44</v>
      </c>
    </row>
    <row r="4488" spans="1:1">
      <c r="A4488" s="2">
        <v>3.7</v>
      </c>
    </row>
    <row r="4489" spans="1:1">
      <c r="A4489" s="2">
        <v>3.52</v>
      </c>
    </row>
    <row r="4490" spans="1:1">
      <c r="A4490" s="2">
        <v>3.57</v>
      </c>
    </row>
    <row r="4491" spans="1:1">
      <c r="A4491" s="2">
        <v>3.62</v>
      </c>
    </row>
    <row r="4492" spans="1:1">
      <c r="A4492" s="2">
        <v>3.63</v>
      </c>
    </row>
    <row r="4493" spans="1:1">
      <c r="A4493" s="2">
        <v>3.78</v>
      </c>
    </row>
    <row r="4494" spans="1:1">
      <c r="A4494" s="2">
        <v>3.52</v>
      </c>
    </row>
    <row r="4495" spans="1:1">
      <c r="A4495" s="2">
        <v>3.52</v>
      </c>
    </row>
    <row r="4496" spans="1:1">
      <c r="A4496" s="2">
        <v>3.42</v>
      </c>
    </row>
    <row r="4497" spans="1:1">
      <c r="A4497" s="2">
        <v>3.8</v>
      </c>
    </row>
    <row r="4498" spans="1:1">
      <c r="A4498" s="2">
        <v>3.7</v>
      </c>
    </row>
    <row r="4499" spans="1:1">
      <c r="A4499" s="2">
        <v>3.62</v>
      </c>
    </row>
    <row r="4500" spans="1:1">
      <c r="A4500" s="2">
        <v>3.52</v>
      </c>
    </row>
    <row r="4501" spans="1:1">
      <c r="A4501" s="2">
        <v>3.75</v>
      </c>
    </row>
    <row r="4502" spans="1:1">
      <c r="A4502" s="2">
        <v>3.52</v>
      </c>
    </row>
    <row r="4503" spans="1:1">
      <c r="A4503" s="2">
        <v>3.52</v>
      </c>
    </row>
    <row r="4504" spans="1:1">
      <c r="A4504" s="2">
        <v>3.57</v>
      </c>
    </row>
    <row r="4505" spans="1:1">
      <c r="A4505" s="2">
        <v>3.51</v>
      </c>
    </row>
    <row r="4506" spans="1:1">
      <c r="A4506" s="2">
        <v>3.52</v>
      </c>
    </row>
    <row r="4507" spans="1:1">
      <c r="A4507" s="2">
        <v>3.52</v>
      </c>
    </row>
    <row r="4508" spans="1:1">
      <c r="A4508" s="2">
        <v>3.61</v>
      </c>
    </row>
    <row r="4509" spans="1:1">
      <c r="A4509" s="2">
        <v>3.42</v>
      </c>
    </row>
    <row r="4510" spans="1:1">
      <c r="A4510" s="2">
        <v>3.52</v>
      </c>
    </row>
    <row r="4511" spans="1:1">
      <c r="A4511" s="2">
        <v>3.71</v>
      </c>
    </row>
    <row r="4512" spans="1:1">
      <c r="A4512" s="2">
        <v>3.59</v>
      </c>
    </row>
    <row r="4513" spans="1:1">
      <c r="A4513" s="2">
        <v>3.52</v>
      </c>
    </row>
    <row r="4514" spans="1:1">
      <c r="A4514" s="2">
        <v>3.68</v>
      </c>
    </row>
    <row r="4515" spans="1:1">
      <c r="A4515" s="2">
        <v>3.52</v>
      </c>
    </row>
    <row r="4516" spans="1:1">
      <c r="A4516" s="2">
        <v>3.52</v>
      </c>
    </row>
    <row r="4517" spans="1:1">
      <c r="A4517" s="2">
        <v>3.75</v>
      </c>
    </row>
    <row r="4518" spans="1:1">
      <c r="A4518" s="2">
        <v>3.63</v>
      </c>
    </row>
    <row r="4519" spans="1:1">
      <c r="A4519" s="2">
        <v>3.64</v>
      </c>
    </row>
    <row r="4520" spans="1:1">
      <c r="A4520" s="2">
        <v>3.73</v>
      </c>
    </row>
    <row r="4521" spans="1:1">
      <c r="A4521" s="2">
        <v>3.61</v>
      </c>
    </row>
    <row r="4522" spans="1:1">
      <c r="A4522" s="2">
        <v>3.58</v>
      </c>
    </row>
    <row r="4523" spans="1:1">
      <c r="A4523" s="2">
        <v>3.81</v>
      </c>
    </row>
    <row r="4524" spans="1:1">
      <c r="A4524" s="2">
        <v>3.48</v>
      </c>
    </row>
    <row r="4525" spans="1:1">
      <c r="A4525" s="2">
        <v>3.52</v>
      </c>
    </row>
    <row r="4526" spans="1:1">
      <c r="A4526" s="2">
        <v>3.52</v>
      </c>
    </row>
    <row r="4527" spans="1:1">
      <c r="A4527" s="2">
        <v>3.73</v>
      </c>
    </row>
    <row r="4528" spans="1:1">
      <c r="A4528" s="2">
        <v>3.42</v>
      </c>
    </row>
    <row r="4529" spans="1:1">
      <c r="A4529" s="2">
        <v>3.6</v>
      </c>
    </row>
    <row r="4530" spans="1:1">
      <c r="A4530" s="2">
        <v>3.59</v>
      </c>
    </row>
    <row r="4531" spans="1:1">
      <c r="A4531" s="2">
        <v>3.6</v>
      </c>
    </row>
    <row r="4532" spans="1:1">
      <c r="A4532" s="2">
        <v>3.55</v>
      </c>
    </row>
    <row r="4533" spans="1:1">
      <c r="A4533" s="2">
        <v>3.52</v>
      </c>
    </row>
    <row r="4534" spans="1:1">
      <c r="A4534" s="2">
        <v>3.72</v>
      </c>
    </row>
    <row r="4535" spans="1:1">
      <c r="A4535" s="2">
        <v>3.71</v>
      </c>
    </row>
    <row r="4536" spans="1:1">
      <c r="A4536" s="2">
        <v>3.52</v>
      </c>
    </row>
    <row r="4537" spans="1:1">
      <c r="A4537" s="2">
        <v>3.75</v>
      </c>
    </row>
    <row r="4538" spans="1:1">
      <c r="A4538" s="2">
        <v>3.52</v>
      </c>
    </row>
    <row r="4539" spans="1:1">
      <c r="A4539" s="2">
        <v>3.53</v>
      </c>
    </row>
    <row r="4540" spans="1:1">
      <c r="A4540" s="2">
        <v>3.77</v>
      </c>
    </row>
    <row r="4541" spans="1:1">
      <c r="A4541" s="2">
        <v>3.52</v>
      </c>
    </row>
    <row r="4542" spans="1:1">
      <c r="A4542" s="2">
        <v>3.46</v>
      </c>
    </row>
    <row r="4543" spans="1:1">
      <c r="A4543" s="2">
        <v>3.52</v>
      </c>
    </row>
    <row r="4544" spans="1:1">
      <c r="A4544" s="2">
        <v>3.61</v>
      </c>
    </row>
    <row r="4545" spans="1:1">
      <c r="A4545" s="2">
        <v>3.52</v>
      </c>
    </row>
    <row r="4546" spans="1:1">
      <c r="A4546" s="2">
        <v>3.52</v>
      </c>
    </row>
    <row r="4547" spans="1:1">
      <c r="A4547" s="2">
        <v>3.52</v>
      </c>
    </row>
    <row r="4548" spans="1:1">
      <c r="A4548" s="2">
        <v>3.64</v>
      </c>
    </row>
    <row r="4549" spans="1:1">
      <c r="A4549" s="2">
        <v>3.69</v>
      </c>
    </row>
    <row r="4550" spans="1:1">
      <c r="A4550" s="2">
        <v>3.74</v>
      </c>
    </row>
    <row r="4551" spans="1:1">
      <c r="A4551" s="2">
        <v>3.79</v>
      </c>
    </row>
    <row r="4552" spans="1:1">
      <c r="A4552" s="2">
        <v>3.52</v>
      </c>
    </row>
    <row r="4553" spans="1:1">
      <c r="A4553" s="2">
        <v>3.51</v>
      </c>
    </row>
    <row r="4554" spans="1:1">
      <c r="A4554" s="2">
        <v>3.52</v>
      </c>
    </row>
    <row r="4555" spans="1:1">
      <c r="A4555" s="2">
        <v>3.59</v>
      </c>
    </row>
    <row r="4556" spans="1:1">
      <c r="A4556" s="2">
        <v>3.41</v>
      </c>
    </row>
    <row r="4557" spans="1:1">
      <c r="A4557" s="2">
        <v>3.53</v>
      </c>
    </row>
    <row r="4558" spans="1:1">
      <c r="A4558" s="2">
        <v>3.45</v>
      </c>
    </row>
    <row r="4559" spans="1:1">
      <c r="A4559" s="2">
        <v>3.58</v>
      </c>
    </row>
    <row r="4560" spans="1:1">
      <c r="A4560" s="2">
        <v>3.73</v>
      </c>
    </row>
    <row r="4561" spans="1:1">
      <c r="A4561" s="2">
        <v>3.52</v>
      </c>
    </row>
    <row r="4562" spans="1:1">
      <c r="A4562" s="2">
        <v>3.51</v>
      </c>
    </row>
    <row r="4563" spans="1:1">
      <c r="A4563" s="2">
        <v>3.52</v>
      </c>
    </row>
    <row r="4564" spans="1:1">
      <c r="A4564" s="2">
        <v>3.52</v>
      </c>
    </row>
    <row r="4565" spans="1:1">
      <c r="A4565" s="2">
        <v>3.77</v>
      </c>
    </row>
    <row r="4566" spans="1:1">
      <c r="A4566" s="2">
        <v>3.52</v>
      </c>
    </row>
    <row r="4567" spans="1:1">
      <c r="A4567" s="2">
        <v>3.52</v>
      </c>
    </row>
    <row r="4568" spans="1:1">
      <c r="A4568" s="2">
        <v>3.71</v>
      </c>
    </row>
    <row r="4569" spans="1:1">
      <c r="A4569" s="2">
        <v>3.78</v>
      </c>
    </row>
    <row r="4570" spans="1:1">
      <c r="A4570" s="2">
        <v>3.51</v>
      </c>
    </row>
    <row r="4571" spans="1:1">
      <c r="A4571" s="2">
        <v>3.45</v>
      </c>
    </row>
    <row r="4572" spans="1:1">
      <c r="A4572" s="2">
        <v>3.52</v>
      </c>
    </row>
    <row r="4573" spans="1:1">
      <c r="A4573" s="2">
        <v>3.52</v>
      </c>
    </row>
    <row r="4574" spans="1:1">
      <c r="A4574" s="2">
        <v>3.78</v>
      </c>
    </row>
    <row r="4575" spans="1:1">
      <c r="A4575" s="2">
        <v>3.54</v>
      </c>
    </row>
    <row r="4576" spans="1:1">
      <c r="A4576" s="2">
        <v>3.78</v>
      </c>
    </row>
    <row r="4577" spans="1:1">
      <c r="A4577" s="2">
        <v>3.41</v>
      </c>
    </row>
    <row r="4578" spans="1:1">
      <c r="A4578" s="2">
        <v>3.52</v>
      </c>
    </row>
    <row r="4579" spans="1:1">
      <c r="A4579" s="2">
        <v>3.52</v>
      </c>
    </row>
    <row r="4580" spans="1:1">
      <c r="A4580" s="2">
        <v>3.78</v>
      </c>
    </row>
    <row r="4581" spans="1:1">
      <c r="A4581" s="2">
        <v>3.52</v>
      </c>
    </row>
    <row r="4582" spans="1:1">
      <c r="A4582" s="2">
        <v>3.42</v>
      </c>
    </row>
    <row r="4583" spans="1:1">
      <c r="A4583" s="2">
        <v>3.73</v>
      </c>
    </row>
    <row r="4584" spans="1:1">
      <c r="A4584" s="2">
        <v>3.52</v>
      </c>
    </row>
    <row r="4585" spans="1:1">
      <c r="A4585" s="2">
        <v>3.54</v>
      </c>
    </row>
    <row r="4586" spans="1:1">
      <c r="A4586" s="2">
        <v>3.52</v>
      </c>
    </row>
    <row r="4587" spans="1:1">
      <c r="A4587" s="2">
        <v>3.58</v>
      </c>
    </row>
    <row r="4588" spans="1:1">
      <c r="A4588" s="2">
        <v>3.65</v>
      </c>
    </row>
    <row r="4589" spans="1:1">
      <c r="A4589" s="2">
        <v>3.66</v>
      </c>
    </row>
    <row r="4590" spans="1:1">
      <c r="A4590" s="2">
        <v>3.52</v>
      </c>
    </row>
    <row r="4591" spans="1:1">
      <c r="A4591" s="2">
        <v>3.71</v>
      </c>
    </row>
    <row r="4592" spans="1:1">
      <c r="A4592" s="2">
        <v>3.8</v>
      </c>
    </row>
    <row r="4593" spans="1:1">
      <c r="A4593" s="2">
        <v>3.67</v>
      </c>
    </row>
    <row r="4594" spans="1:1">
      <c r="A4594" s="2">
        <v>3.54</v>
      </c>
    </row>
    <row r="4595" spans="1:1">
      <c r="A4595" s="2">
        <v>3.52</v>
      </c>
    </row>
    <row r="4596" spans="1:1">
      <c r="A4596" s="2">
        <v>3.54</v>
      </c>
    </row>
    <row r="4597" spans="1:1">
      <c r="A4597" s="2">
        <v>3.52</v>
      </c>
    </row>
    <row r="4598" spans="1:1">
      <c r="A4598" s="2">
        <v>3.52</v>
      </c>
    </row>
    <row r="4599" spans="1:1">
      <c r="A4599" s="2">
        <v>3.57</v>
      </c>
    </row>
    <row r="4600" spans="1:1">
      <c r="A4600" s="2">
        <v>3.52</v>
      </c>
    </row>
    <row r="4601" spans="1:1">
      <c r="A4601" s="2">
        <v>3.74</v>
      </c>
    </row>
    <row r="4602" spans="1:1">
      <c r="A4602" s="2">
        <v>3.52</v>
      </c>
    </row>
    <row r="4603" spans="1:1">
      <c r="A4603" s="2">
        <v>3.63</v>
      </c>
    </row>
    <row r="4604" spans="1:1">
      <c r="A4604" s="2">
        <v>3.5</v>
      </c>
    </row>
    <row r="4605" spans="1:1">
      <c r="A4605" s="2">
        <v>3.52</v>
      </c>
    </row>
    <row r="4606" spans="1:1">
      <c r="A4606" s="2">
        <v>3.46</v>
      </c>
    </row>
    <row r="4607" spans="1:1">
      <c r="A4607" s="2">
        <v>3.81</v>
      </c>
    </row>
    <row r="4608" spans="1:1">
      <c r="A4608" s="2">
        <v>3.52</v>
      </c>
    </row>
    <row r="4609" spans="1:1">
      <c r="A4609" s="2">
        <v>3.45</v>
      </c>
    </row>
    <row r="4610" spans="1:1">
      <c r="A4610" s="2">
        <v>3.67</v>
      </c>
    </row>
    <row r="4611" spans="1:1">
      <c r="A4611" s="2">
        <v>3.51</v>
      </c>
    </row>
    <row r="4612" spans="1:1">
      <c r="A4612" s="2">
        <v>3.41</v>
      </c>
    </row>
    <row r="4613" spans="1:1">
      <c r="A4613" s="2">
        <v>3.52</v>
      </c>
    </row>
    <row r="4614" spans="1:1">
      <c r="A4614" s="2">
        <v>3.66</v>
      </c>
    </row>
    <row r="4615" spans="1:1">
      <c r="A4615" s="2">
        <v>3.52</v>
      </c>
    </row>
    <row r="4616" spans="1:1">
      <c r="A4616" s="2">
        <v>3.6</v>
      </c>
    </row>
    <row r="4617" spans="1:1">
      <c r="A4617" s="2">
        <v>3.52</v>
      </c>
    </row>
    <row r="4618" spans="1:1">
      <c r="A4618" s="2">
        <v>3.56</v>
      </c>
    </row>
    <row r="4619" spans="1:1">
      <c r="A4619" s="2">
        <v>3.52</v>
      </c>
    </row>
    <row r="4620" spans="1:1">
      <c r="A4620" s="2">
        <v>3.66</v>
      </c>
    </row>
    <row r="4621" spans="1:1">
      <c r="A4621" s="2">
        <v>3.68</v>
      </c>
    </row>
    <row r="4622" spans="1:1">
      <c r="A4622" s="2">
        <v>3.52</v>
      </c>
    </row>
    <row r="4623" spans="1:1">
      <c r="A4623" s="2">
        <v>3.59</v>
      </c>
    </row>
    <row r="4624" spans="1:1">
      <c r="A4624" s="2">
        <v>3.52</v>
      </c>
    </row>
    <row r="4625" spans="1:1">
      <c r="A4625" s="2">
        <v>3.45</v>
      </c>
    </row>
    <row r="4626" spans="1:1">
      <c r="A4626" s="2">
        <v>3.75</v>
      </c>
    </row>
    <row r="4627" spans="1:1">
      <c r="A4627" s="2">
        <v>3.8</v>
      </c>
    </row>
    <row r="4628" spans="1:1">
      <c r="A4628" s="2">
        <v>3.52</v>
      </c>
    </row>
    <row r="4629" spans="1:1">
      <c r="A4629" s="2">
        <v>3.52</v>
      </c>
    </row>
    <row r="4630" spans="1:1">
      <c r="A4630" s="2">
        <v>3.52</v>
      </c>
    </row>
    <row r="4631" spans="1:1">
      <c r="A4631" s="2">
        <v>3.52</v>
      </c>
    </row>
    <row r="4632" spans="1:1">
      <c r="A4632" s="2">
        <v>3.52</v>
      </c>
    </row>
    <row r="4633" spans="1:1">
      <c r="A4633" s="2">
        <v>3.52</v>
      </c>
    </row>
    <row r="4634" spans="1:1">
      <c r="A4634" s="2">
        <v>3.67</v>
      </c>
    </row>
    <row r="4635" spans="1:1">
      <c r="A4635" s="2">
        <v>3.52</v>
      </c>
    </row>
    <row r="4636" spans="1:1">
      <c r="A4636" s="2">
        <v>3.52</v>
      </c>
    </row>
    <row r="4637" spans="1:1">
      <c r="A4637" s="2">
        <v>3.49</v>
      </c>
    </row>
    <row r="4638" spans="1:1">
      <c r="A4638" s="2">
        <v>3.51</v>
      </c>
    </row>
    <row r="4639" spans="1:1">
      <c r="A4639" s="2">
        <v>3.53</v>
      </c>
    </row>
    <row r="4640" spans="1:1">
      <c r="A4640" s="2">
        <v>3.77</v>
      </c>
    </row>
    <row r="4641" spans="1:1">
      <c r="A4641" s="2">
        <v>3.47</v>
      </c>
    </row>
    <row r="4642" spans="1:1">
      <c r="A4642" s="2">
        <v>3.74</v>
      </c>
    </row>
    <row r="4643" spans="1:1">
      <c r="A4643" s="2">
        <v>3.51</v>
      </c>
    </row>
    <row r="4644" spans="1:1">
      <c r="A4644" s="2">
        <v>3.52</v>
      </c>
    </row>
    <row r="4645" spans="1:1">
      <c r="A4645" s="2">
        <v>3.52</v>
      </c>
    </row>
    <row r="4646" spans="1:1">
      <c r="A4646" s="2">
        <v>3.52</v>
      </c>
    </row>
    <row r="4647" spans="1:1">
      <c r="A4647" s="2">
        <v>3.52</v>
      </c>
    </row>
    <row r="4648" spans="1:1">
      <c r="A4648" s="2">
        <v>3.78</v>
      </c>
    </row>
    <row r="4649" spans="1:1">
      <c r="A4649" s="2">
        <v>3.76</v>
      </c>
    </row>
    <row r="4650" spans="1:1">
      <c r="A4650" s="2">
        <v>3.52</v>
      </c>
    </row>
    <row r="4651" spans="1:1">
      <c r="A4651" s="2">
        <v>3.52</v>
      </c>
    </row>
    <row r="4652" spans="1:1">
      <c r="A4652" s="2">
        <v>3.52</v>
      </c>
    </row>
    <row r="4653" spans="1:1">
      <c r="A4653" s="2">
        <v>3.52</v>
      </c>
    </row>
    <row r="4654" spans="1:1">
      <c r="A4654" s="2">
        <v>3.58</v>
      </c>
    </row>
    <row r="4655" spans="1:1">
      <c r="A4655" s="2">
        <v>3.52</v>
      </c>
    </row>
    <row r="4656" spans="1:1">
      <c r="A4656" s="2">
        <v>3.6</v>
      </c>
    </row>
    <row r="4657" spans="1:1">
      <c r="A4657" s="2">
        <v>3.52</v>
      </c>
    </row>
    <row r="4658" spans="1:1">
      <c r="A4658" s="2">
        <v>3.58</v>
      </c>
    </row>
    <row r="4659" spans="1:1">
      <c r="A4659" s="2">
        <v>3.77</v>
      </c>
    </row>
    <row r="4660" spans="1:1">
      <c r="A4660" s="2">
        <v>3.76</v>
      </c>
    </row>
    <row r="4661" spans="1:1">
      <c r="A4661" s="2">
        <v>3.41</v>
      </c>
    </row>
    <row r="4662" spans="1:1">
      <c r="A4662" s="2">
        <v>3.63</v>
      </c>
    </row>
    <row r="4663" spans="1:1">
      <c r="A4663" s="2">
        <v>3.52</v>
      </c>
    </row>
    <row r="4664" spans="1:1">
      <c r="A4664" s="2">
        <v>3.57</v>
      </c>
    </row>
    <row r="4665" spans="1:1">
      <c r="A4665" s="2">
        <v>3.52</v>
      </c>
    </row>
    <row r="4666" spans="1:1">
      <c r="A4666" s="2">
        <v>3.69</v>
      </c>
    </row>
    <row r="4667" spans="1:1">
      <c r="A4667" s="2">
        <v>3.52</v>
      </c>
    </row>
    <row r="4668" spans="1:1">
      <c r="A4668" s="2">
        <v>3.67</v>
      </c>
    </row>
    <row r="4669" spans="1:1">
      <c r="A4669" s="2">
        <v>3.56</v>
      </c>
    </row>
    <row r="4670" spans="1:1">
      <c r="A4670" s="2">
        <v>3.65</v>
      </c>
    </row>
    <row r="4671" spans="1:1">
      <c r="A4671" s="2">
        <v>3.52</v>
      </c>
    </row>
    <row r="4672" spans="1:1">
      <c r="A4672" s="2">
        <v>3.62</v>
      </c>
    </row>
    <row r="4673" spans="1:1">
      <c r="A4673" s="2">
        <v>3.52</v>
      </c>
    </row>
    <row r="4674" spans="1:1">
      <c r="A4674" s="2">
        <v>3.77</v>
      </c>
    </row>
    <row r="4675" spans="1:1">
      <c r="A4675" s="2">
        <v>3.52</v>
      </c>
    </row>
    <row r="4676" spans="1:1">
      <c r="A4676" s="2">
        <v>3.73</v>
      </c>
    </row>
    <row r="4677" spans="1:1">
      <c r="A4677" s="2">
        <v>3.73</v>
      </c>
    </row>
    <row r="4678" spans="1:1">
      <c r="A4678" s="2">
        <v>3.52</v>
      </c>
    </row>
    <row r="4679" spans="1:1">
      <c r="A4679" s="2">
        <v>3.52</v>
      </c>
    </row>
    <row r="4680" spans="1:1">
      <c r="A4680" s="2">
        <v>3.52</v>
      </c>
    </row>
    <row r="4681" spans="1:1">
      <c r="A4681" s="2">
        <v>3.72</v>
      </c>
    </row>
    <row r="4682" spans="1:1">
      <c r="A4682" s="2">
        <v>3.78</v>
      </c>
    </row>
    <row r="4683" spans="1:1">
      <c r="A4683" s="2">
        <v>3.52</v>
      </c>
    </row>
    <row r="4684" spans="1:1">
      <c r="A4684" s="2">
        <v>3.73</v>
      </c>
    </row>
    <row r="4685" spans="1:1">
      <c r="A4685" s="2">
        <v>3.52</v>
      </c>
    </row>
    <row r="4686" spans="1:1">
      <c r="A4686" s="2">
        <v>3.76</v>
      </c>
    </row>
    <row r="4687" spans="1:1">
      <c r="A4687" s="2">
        <v>3.44</v>
      </c>
    </row>
    <row r="4688" spans="1:1">
      <c r="A4688" s="2">
        <v>3.52</v>
      </c>
    </row>
    <row r="4689" spans="1:1">
      <c r="A4689" s="2">
        <v>3.51</v>
      </c>
    </row>
    <row r="4690" spans="1:1">
      <c r="A4690" s="2">
        <v>3.52</v>
      </c>
    </row>
    <row r="4691" spans="1:1">
      <c r="A4691" s="2">
        <v>3.47</v>
      </c>
    </row>
    <row r="4692" spans="1:1">
      <c r="A4692" s="2">
        <v>3.78</v>
      </c>
    </row>
    <row r="4693" spans="1:1">
      <c r="A4693" s="2">
        <v>3.52</v>
      </c>
    </row>
    <row r="4694" spans="1:1">
      <c r="A4694" s="2">
        <v>3.52</v>
      </c>
    </row>
    <row r="4695" spans="1:1">
      <c r="A4695" s="2">
        <v>3.63</v>
      </c>
    </row>
    <row r="4696" spans="1:1">
      <c r="A4696" s="2">
        <v>3.61</v>
      </c>
    </row>
    <row r="4697" spans="1:1">
      <c r="A4697" s="2">
        <v>3.52</v>
      </c>
    </row>
    <row r="4698" spans="1:1">
      <c r="A4698" s="2">
        <v>3.48</v>
      </c>
    </row>
    <row r="4699" spans="1:1">
      <c r="A4699" s="2">
        <v>3.5</v>
      </c>
    </row>
    <row r="4700" spans="1:1">
      <c r="A4700" s="2">
        <v>3.68</v>
      </c>
    </row>
    <row r="4701" spans="1:1">
      <c r="A4701" s="2">
        <v>3.75</v>
      </c>
    </row>
    <row r="4702" spans="1:1">
      <c r="A4702" s="2">
        <v>3.52</v>
      </c>
    </row>
    <row r="4703" spans="1:1">
      <c r="A4703" s="2">
        <v>3.52</v>
      </c>
    </row>
    <row r="4704" spans="1:1">
      <c r="A4704" s="2">
        <v>3.5</v>
      </c>
    </row>
    <row r="4705" spans="1:1">
      <c r="A4705" s="2">
        <v>3.51</v>
      </c>
    </row>
    <row r="4706" spans="1:1">
      <c r="A4706" s="2">
        <v>3.52</v>
      </c>
    </row>
    <row r="4707" spans="1:1">
      <c r="A4707" s="2">
        <v>3.52</v>
      </c>
    </row>
    <row r="4708" spans="1:1">
      <c r="A4708" s="2">
        <v>3.77</v>
      </c>
    </row>
    <row r="4709" spans="1:1">
      <c r="A4709" s="2">
        <v>3.66</v>
      </c>
    </row>
    <row r="4710" spans="1:1">
      <c r="A4710" s="2">
        <v>3.52</v>
      </c>
    </row>
    <row r="4711" spans="1:1">
      <c r="A4711" s="2">
        <v>3.73</v>
      </c>
    </row>
    <row r="4712" spans="1:1">
      <c r="A4712" s="2">
        <v>3.5</v>
      </c>
    </row>
    <row r="4713" spans="1:1">
      <c r="A4713" s="2">
        <v>3.64</v>
      </c>
    </row>
    <row r="4714" spans="1:1">
      <c r="A4714" s="2">
        <v>3.77</v>
      </c>
    </row>
    <row r="4715" spans="1:1">
      <c r="A4715" s="2">
        <v>3.52</v>
      </c>
    </row>
    <row r="4716" spans="1:1">
      <c r="A4716" s="2">
        <v>3.6</v>
      </c>
    </row>
    <row r="4717" spans="1:1">
      <c r="A4717" s="2">
        <v>3.75</v>
      </c>
    </row>
    <row r="4718" spans="1:1">
      <c r="A4718" s="2">
        <v>3.52</v>
      </c>
    </row>
    <row r="4719" spans="1:1">
      <c r="A4719" s="2">
        <v>3.78</v>
      </c>
    </row>
    <row r="4720" spans="1:1">
      <c r="A4720" s="2">
        <v>3.52</v>
      </c>
    </row>
    <row r="4721" spans="1:1">
      <c r="A4721" s="2">
        <v>3.51</v>
      </c>
    </row>
    <row r="4722" spans="1:1">
      <c r="A4722" s="2">
        <v>3.52</v>
      </c>
    </row>
    <row r="4723" spans="1:1">
      <c r="A4723" s="2">
        <v>3.52</v>
      </c>
    </row>
    <row r="4724" spans="1:1">
      <c r="A4724" s="2">
        <v>3.52</v>
      </c>
    </row>
    <row r="4725" spans="1:1">
      <c r="A4725" s="2">
        <v>3.82</v>
      </c>
    </row>
    <row r="4726" spans="1:1">
      <c r="A4726" s="2">
        <v>3.61</v>
      </c>
    </row>
    <row r="4727" spans="1:1">
      <c r="A4727" s="2">
        <v>3.52</v>
      </c>
    </row>
    <row r="4728" spans="1:1">
      <c r="A4728" s="2">
        <v>3.78</v>
      </c>
    </row>
    <row r="4729" spans="1:1">
      <c r="A4729" s="2">
        <v>3.49</v>
      </c>
    </row>
    <row r="4730" spans="1:1">
      <c r="A4730" s="2">
        <v>3.52</v>
      </c>
    </row>
    <row r="4731" spans="1:1">
      <c r="A4731" s="2">
        <v>3.52</v>
      </c>
    </row>
    <row r="4732" spans="1:1">
      <c r="A4732" s="2">
        <v>3.52</v>
      </c>
    </row>
    <row r="4733" spans="1:1">
      <c r="A4733" s="2">
        <v>3.74</v>
      </c>
    </row>
    <row r="4734" spans="1:1">
      <c r="A4734" s="2">
        <v>3.78</v>
      </c>
    </row>
    <row r="4735" spans="1:1">
      <c r="A4735" s="2">
        <v>3.52</v>
      </c>
    </row>
    <row r="4736" spans="1:1">
      <c r="A4736" s="2">
        <v>3.69</v>
      </c>
    </row>
    <row r="4737" spans="1:1">
      <c r="A4737" s="2">
        <v>3.82</v>
      </c>
    </row>
    <row r="4738" spans="1:1">
      <c r="A4738" s="2">
        <v>3.67</v>
      </c>
    </row>
    <row r="4739" spans="1:1">
      <c r="A4739" s="2">
        <v>3.57</v>
      </c>
    </row>
    <row r="4740" spans="1:1">
      <c r="A4740" s="2">
        <v>3.51</v>
      </c>
    </row>
    <row r="4741" spans="1:1">
      <c r="A4741" s="2">
        <v>3.82</v>
      </c>
    </row>
    <row r="4742" spans="1:1">
      <c r="A4742" s="2">
        <v>3.75</v>
      </c>
    </row>
    <row r="4743" spans="1:1">
      <c r="A4743" s="2">
        <v>3.47</v>
      </c>
    </row>
    <row r="4744" spans="1:1">
      <c r="A4744" s="2">
        <v>3.58</v>
      </c>
    </row>
    <row r="4745" spans="1:1">
      <c r="A4745" s="2">
        <v>3.52</v>
      </c>
    </row>
    <row r="4746" spans="1:1">
      <c r="A4746" s="2">
        <v>3.52</v>
      </c>
    </row>
    <row r="4747" spans="1:1">
      <c r="A4747" s="2">
        <v>3.52</v>
      </c>
    </row>
    <row r="4748" spans="1:1">
      <c r="A4748" s="2">
        <v>3.78</v>
      </c>
    </row>
    <row r="4749" spans="1:1">
      <c r="A4749" s="2">
        <v>3.74</v>
      </c>
    </row>
    <row r="4750" spans="1:1">
      <c r="A4750" s="2">
        <v>3.44</v>
      </c>
    </row>
    <row r="4751" spans="1:1">
      <c r="A4751" s="2">
        <v>3.45</v>
      </c>
    </row>
    <row r="4752" spans="1:1">
      <c r="A4752" s="2">
        <v>3.78</v>
      </c>
    </row>
    <row r="4753" spans="1:1">
      <c r="A4753" s="2">
        <v>3.52</v>
      </c>
    </row>
    <row r="4754" spans="1:1">
      <c r="A4754" s="2">
        <v>3.52</v>
      </c>
    </row>
    <row r="4755" spans="1:1">
      <c r="A4755" s="2">
        <v>3.68</v>
      </c>
    </row>
    <row r="4756" spans="1:1">
      <c r="A4756" s="2">
        <v>3.52</v>
      </c>
    </row>
    <row r="4757" spans="1:1">
      <c r="A4757" s="2">
        <v>3.53</v>
      </c>
    </row>
    <row r="4758" spans="1:1">
      <c r="A4758" s="2">
        <v>3.52</v>
      </c>
    </row>
    <row r="4759" spans="1:1">
      <c r="A4759" s="2">
        <v>3.52</v>
      </c>
    </row>
    <row r="4760" spans="1:1">
      <c r="A4760" s="2">
        <v>3.74</v>
      </c>
    </row>
    <row r="4761" spans="1:1">
      <c r="A4761" s="2">
        <v>3.52</v>
      </c>
    </row>
    <row r="4762" spans="1:1">
      <c r="A4762" s="2">
        <v>3.52</v>
      </c>
    </row>
    <row r="4763" spans="1:1">
      <c r="A4763" s="2">
        <v>3.66</v>
      </c>
    </row>
    <row r="4764" spans="1:1">
      <c r="A4764" s="2">
        <v>3.65</v>
      </c>
    </row>
    <row r="4765" spans="1:1">
      <c r="A4765" s="2">
        <v>3.42</v>
      </c>
    </row>
    <row r="4766" spans="1:1">
      <c r="A4766" s="2">
        <v>3.52</v>
      </c>
    </row>
    <row r="4767" spans="1:1">
      <c r="A4767" s="2">
        <v>3.52</v>
      </c>
    </row>
    <row r="4768" spans="1:1">
      <c r="A4768" s="2">
        <v>3.52</v>
      </c>
    </row>
    <row r="4769" spans="1:1">
      <c r="A4769" s="2">
        <v>3.75</v>
      </c>
    </row>
    <row r="4770" spans="1:1">
      <c r="A4770" s="2">
        <v>3.59</v>
      </c>
    </row>
    <row r="4771" spans="1:1">
      <c r="A4771" s="2">
        <v>3.52</v>
      </c>
    </row>
    <row r="4772" spans="1:1">
      <c r="A4772" s="2">
        <v>3.52</v>
      </c>
    </row>
    <row r="4773" spans="1:1">
      <c r="A4773" s="2">
        <v>3.52</v>
      </c>
    </row>
    <row r="4774" spans="1:1">
      <c r="A4774" s="2">
        <v>3.52</v>
      </c>
    </row>
    <row r="4775" spans="1:1">
      <c r="A4775" s="2">
        <v>3.48</v>
      </c>
    </row>
    <row r="4776" spans="1:1">
      <c r="A4776" s="2">
        <v>3.56</v>
      </c>
    </row>
    <row r="4777" spans="1:1">
      <c r="A4777" s="2">
        <v>3.66</v>
      </c>
    </row>
    <row r="4778" spans="1:1">
      <c r="A4778" s="2">
        <v>3.57</v>
      </c>
    </row>
    <row r="4779" spans="1:1">
      <c r="A4779" s="2">
        <v>3.52</v>
      </c>
    </row>
    <row r="4780" spans="1:1">
      <c r="A4780" s="2">
        <v>3.76</v>
      </c>
    </row>
    <row r="4781" spans="1:1">
      <c r="A4781" s="2">
        <v>3.45</v>
      </c>
    </row>
    <row r="4782" spans="1:1">
      <c r="A4782" s="2">
        <v>3.65</v>
      </c>
    </row>
    <row r="4783" spans="1:1">
      <c r="A4783" s="2">
        <v>3.69</v>
      </c>
    </row>
    <row r="4784" spans="1:1">
      <c r="A4784" s="2">
        <v>3.76</v>
      </c>
    </row>
    <row r="4785" spans="1:1">
      <c r="A4785" s="2">
        <v>3.43</v>
      </c>
    </row>
    <row r="4786" spans="1:1">
      <c r="A4786" s="2">
        <v>3.52</v>
      </c>
    </row>
    <row r="4787" spans="1:1">
      <c r="A4787" s="2">
        <v>3.62</v>
      </c>
    </row>
    <row r="4788" spans="1:1">
      <c r="A4788" s="2">
        <v>3.52</v>
      </c>
    </row>
    <row r="4789" spans="1:1">
      <c r="A4789" s="2">
        <v>3.52</v>
      </c>
    </row>
    <row r="4790" spans="1:1">
      <c r="A4790" s="2">
        <v>3.52</v>
      </c>
    </row>
    <row r="4791" spans="1:1">
      <c r="A4791" s="2">
        <v>3.69</v>
      </c>
    </row>
    <row r="4792" spans="1:1">
      <c r="A4792" s="2">
        <v>3.54</v>
      </c>
    </row>
    <row r="4793" spans="1:1">
      <c r="A4793" s="2">
        <v>3.55</v>
      </c>
    </row>
    <row r="4794" spans="1:1">
      <c r="A4794" s="2">
        <v>3.66</v>
      </c>
    </row>
    <row r="4795" spans="1:1">
      <c r="A4795" s="2">
        <v>3.52</v>
      </c>
    </row>
    <row r="4796" spans="1:1">
      <c r="A4796" s="2">
        <v>3.48</v>
      </c>
    </row>
    <row r="4797" spans="1:1">
      <c r="A4797" s="2">
        <v>3.67</v>
      </c>
    </row>
    <row r="4798" spans="1:1">
      <c r="A4798" s="2">
        <v>3.73</v>
      </c>
    </row>
    <row r="4799" spans="1:1">
      <c r="A4799" s="2">
        <v>3.55</v>
      </c>
    </row>
    <row r="4800" spans="1:1">
      <c r="A4800" s="2">
        <v>3.7</v>
      </c>
    </row>
    <row r="4801" spans="1:1">
      <c r="A4801" s="2">
        <v>3.52</v>
      </c>
    </row>
    <row r="4802" spans="1:1">
      <c r="A4802" s="2">
        <v>3.52</v>
      </c>
    </row>
    <row r="4803" spans="1:1">
      <c r="A4803" s="2">
        <v>3.51</v>
      </c>
    </row>
    <row r="4804" spans="1:1">
      <c r="A4804" s="2">
        <v>3.52</v>
      </c>
    </row>
    <row r="4805" spans="1:1">
      <c r="A4805" s="2">
        <v>3.52</v>
      </c>
    </row>
    <row r="4806" spans="1:1">
      <c r="A4806" s="2">
        <v>3.58</v>
      </c>
    </row>
    <row r="4807" spans="1:1">
      <c r="A4807" s="2">
        <v>3.62</v>
      </c>
    </row>
    <row r="4808" spans="1:1">
      <c r="A4808" s="2">
        <v>3.52</v>
      </c>
    </row>
    <row r="4809" spans="1:1">
      <c r="A4809" s="2">
        <v>3.52</v>
      </c>
    </row>
    <row r="4810" spans="1:1">
      <c r="A4810" s="2">
        <v>3.52</v>
      </c>
    </row>
    <row r="4811" spans="1:1">
      <c r="A4811" s="2">
        <v>3.52</v>
      </c>
    </row>
    <row r="4812" spans="1:1">
      <c r="A4812" s="2">
        <v>3.51</v>
      </c>
    </row>
    <row r="4813" spans="1:1">
      <c r="A4813" s="2">
        <v>3.52</v>
      </c>
    </row>
    <row r="4814" spans="1:1">
      <c r="A4814" s="2">
        <v>3.73</v>
      </c>
    </row>
    <row r="4815" spans="1:1">
      <c r="A4815" s="2">
        <v>3.52</v>
      </c>
    </row>
    <row r="4816" spans="1:1">
      <c r="A4816" s="2">
        <v>3.52</v>
      </c>
    </row>
    <row r="4817" spans="1:1">
      <c r="A4817" s="2">
        <v>3.52</v>
      </c>
    </row>
    <row r="4818" spans="1:1">
      <c r="A4818" s="2">
        <v>3.8</v>
      </c>
    </row>
    <row r="4819" spans="1:1">
      <c r="A4819" s="2">
        <v>3.77</v>
      </c>
    </row>
    <row r="4820" spans="1:1">
      <c r="A4820" s="2">
        <v>3.52</v>
      </c>
    </row>
    <row r="4821" spans="1:1">
      <c r="A4821" s="2">
        <v>3.7</v>
      </c>
    </row>
    <row r="4822" spans="1:1">
      <c r="A4822" s="2">
        <v>3.57</v>
      </c>
    </row>
    <row r="4823" spans="1:1">
      <c r="A4823" s="2">
        <v>3.52</v>
      </c>
    </row>
    <row r="4824" spans="1:1">
      <c r="A4824" s="2">
        <v>3.52</v>
      </c>
    </row>
    <row r="4825" spans="1:1">
      <c r="A4825" s="2">
        <v>3.45</v>
      </c>
    </row>
    <row r="4826" spans="1:1">
      <c r="A4826" s="2">
        <v>3.52</v>
      </c>
    </row>
    <row r="4827" spans="1:1">
      <c r="A4827" s="2">
        <v>3.59</v>
      </c>
    </row>
    <row r="4828" spans="1:1">
      <c r="A4828" s="2">
        <v>3.66</v>
      </c>
    </row>
    <row r="4829" spans="1:1">
      <c r="A4829" s="2">
        <v>3.56</v>
      </c>
    </row>
    <row r="4830" spans="1:1">
      <c r="A4830" s="2">
        <v>3.42</v>
      </c>
    </row>
    <row r="4831" spans="1:1">
      <c r="A4831" s="2">
        <v>3.57</v>
      </c>
    </row>
    <row r="4832" spans="1:1">
      <c r="A4832" s="2">
        <v>3.52</v>
      </c>
    </row>
    <row r="4833" spans="1:1">
      <c r="A4833" s="2">
        <v>3.52</v>
      </c>
    </row>
    <row r="4834" spans="1:1">
      <c r="A4834" s="2">
        <v>3.77</v>
      </c>
    </row>
    <row r="4835" spans="1:1">
      <c r="A4835" s="2">
        <v>3.52</v>
      </c>
    </row>
    <row r="4836" spans="1:1">
      <c r="A4836" s="2">
        <v>3.52</v>
      </c>
    </row>
    <row r="4837" spans="1:1">
      <c r="A4837" s="2">
        <v>3.5</v>
      </c>
    </row>
    <row r="4838" spans="1:1">
      <c r="A4838" s="2">
        <v>3.52</v>
      </c>
    </row>
    <row r="4839" spans="1:1">
      <c r="A4839" s="2">
        <v>3.51</v>
      </c>
    </row>
    <row r="4840" spans="1:1">
      <c r="A4840" s="2">
        <v>3.78</v>
      </c>
    </row>
    <row r="4841" spans="1:1">
      <c r="A4841" s="2">
        <v>3.62</v>
      </c>
    </row>
    <row r="4842" spans="1:1">
      <c r="A4842" s="2">
        <v>3.52</v>
      </c>
    </row>
    <row r="4843" spans="1:1">
      <c r="A4843" s="2">
        <v>3.69</v>
      </c>
    </row>
    <row r="4844" spans="1:1">
      <c r="A4844" s="2">
        <v>3.78</v>
      </c>
    </row>
    <row r="4845" spans="1:1">
      <c r="A4845" s="2">
        <v>3.52</v>
      </c>
    </row>
    <row r="4846" spans="1:1">
      <c r="A4846" s="2">
        <v>3.78</v>
      </c>
    </row>
    <row r="4847" spans="1:1">
      <c r="A4847" s="2">
        <v>3.52</v>
      </c>
    </row>
    <row r="4848" spans="1:1">
      <c r="A4848" s="2">
        <v>3.73</v>
      </c>
    </row>
    <row r="4849" spans="1:1">
      <c r="A4849" s="2">
        <v>3.75</v>
      </c>
    </row>
    <row r="4850" spans="1:1">
      <c r="A4850" s="2">
        <v>3.52</v>
      </c>
    </row>
    <row r="4851" spans="1:1">
      <c r="A4851" s="2">
        <v>3.52</v>
      </c>
    </row>
    <row r="4852" spans="1:1">
      <c r="A4852" s="2">
        <v>3.58</v>
      </c>
    </row>
    <row r="4853" spans="1:1">
      <c r="A4853" s="2">
        <v>3.73</v>
      </c>
    </row>
    <row r="4854" spans="1:1">
      <c r="A4854" s="2">
        <v>3.58</v>
      </c>
    </row>
    <row r="4855" spans="1:1">
      <c r="A4855" s="2">
        <v>3.52</v>
      </c>
    </row>
    <row r="4856" spans="1:1">
      <c r="A4856" s="2">
        <v>3.52</v>
      </c>
    </row>
    <row r="4857" spans="1:1">
      <c r="A4857" s="2">
        <v>3.78</v>
      </c>
    </row>
    <row r="4858" spans="1:1">
      <c r="A4858" s="2">
        <v>3.78</v>
      </c>
    </row>
    <row r="4859" spans="1:1">
      <c r="A4859" s="2">
        <v>3.57</v>
      </c>
    </row>
    <row r="4860" spans="1:1">
      <c r="A4860" s="2">
        <v>3.46</v>
      </c>
    </row>
    <row r="4861" spans="1:1">
      <c r="A4861" s="2">
        <v>3.72</v>
      </c>
    </row>
    <row r="4862" spans="1:1">
      <c r="A4862" s="2">
        <v>3.52</v>
      </c>
    </row>
    <row r="4863" spans="1:1">
      <c r="A4863" s="2">
        <v>3.73</v>
      </c>
    </row>
    <row r="4864" spans="1:1">
      <c r="A4864" s="2">
        <v>3.78</v>
      </c>
    </row>
    <row r="4865" spans="1:1">
      <c r="A4865" s="2">
        <v>3.56</v>
      </c>
    </row>
    <row r="4866" spans="1:1">
      <c r="A4866" s="2">
        <v>3.52</v>
      </c>
    </row>
    <row r="4867" spans="1:1">
      <c r="A4867" s="2">
        <v>3.52</v>
      </c>
    </row>
    <row r="4868" spans="1:1">
      <c r="A4868" s="2">
        <v>3.51</v>
      </c>
    </row>
    <row r="4869" spans="1:1">
      <c r="A4869" s="2">
        <v>3.65</v>
      </c>
    </row>
    <row r="4870" spans="1:1">
      <c r="A4870" s="2">
        <v>3.8</v>
      </c>
    </row>
    <row r="4871" spans="1:1">
      <c r="A4871" s="2">
        <v>3.61</v>
      </c>
    </row>
    <row r="4872" spans="1:1">
      <c r="A4872" s="2">
        <v>3.52</v>
      </c>
    </row>
    <row r="4873" spans="1:1">
      <c r="A4873" s="2">
        <v>3.75</v>
      </c>
    </row>
    <row r="4874" spans="1:1">
      <c r="A4874" s="2">
        <v>3.53</v>
      </c>
    </row>
    <row r="4875" spans="1:1">
      <c r="A4875" s="2">
        <v>3.75</v>
      </c>
    </row>
    <row r="4876" spans="1:1">
      <c r="A4876" s="2">
        <v>3.52</v>
      </c>
    </row>
    <row r="4877" spans="1:1">
      <c r="A4877" s="2">
        <v>3.66</v>
      </c>
    </row>
    <row r="4878" spans="1:1">
      <c r="A4878" s="2">
        <v>3.52</v>
      </c>
    </row>
    <row r="4879" spans="1:1">
      <c r="A4879" s="2">
        <v>3.51</v>
      </c>
    </row>
    <row r="4880" spans="1:1">
      <c r="A4880" s="2">
        <v>3.78</v>
      </c>
    </row>
    <row r="4881" spans="1:1">
      <c r="A4881" s="2">
        <v>3.72</v>
      </c>
    </row>
    <row r="4882" spans="1:1">
      <c r="A4882" s="2">
        <v>3.52</v>
      </c>
    </row>
    <row r="4883" spans="1:1">
      <c r="A4883" s="2">
        <v>3.69</v>
      </c>
    </row>
    <row r="4884" spans="1:1">
      <c r="A4884" s="2">
        <v>3.75</v>
      </c>
    </row>
    <row r="4885" spans="1:1">
      <c r="A4885" s="2">
        <v>3.41</v>
      </c>
    </row>
    <row r="4886" spans="1:1">
      <c r="A4886" s="2">
        <v>3.49</v>
      </c>
    </row>
    <row r="4887" spans="1:1">
      <c r="A4887" s="2">
        <v>3.51</v>
      </c>
    </row>
    <row r="4888" spans="1:1">
      <c r="A4888" s="2">
        <v>3.58</v>
      </c>
    </row>
    <row r="4889" spans="1:1">
      <c r="A4889" s="2">
        <v>3.44</v>
      </c>
    </row>
    <row r="4890" spans="1:1">
      <c r="A4890" s="2">
        <v>3.52</v>
      </c>
    </row>
    <row r="4891" spans="1:1">
      <c r="A4891" s="2">
        <v>3.46</v>
      </c>
    </row>
    <row r="4892" spans="1:1">
      <c r="A4892" s="2">
        <v>3.78</v>
      </c>
    </row>
    <row r="4893" spans="1:1">
      <c r="A4893" s="2">
        <v>3.44</v>
      </c>
    </row>
    <row r="4894" spans="1:1">
      <c r="A4894" s="2">
        <v>3.54</v>
      </c>
    </row>
    <row r="4895" spans="1:1">
      <c r="A4895" s="2">
        <v>3.52</v>
      </c>
    </row>
    <row r="4896" spans="1:1">
      <c r="A4896" s="2">
        <v>3.42</v>
      </c>
    </row>
    <row r="4897" spans="1:1">
      <c r="A4897" s="2">
        <v>3.52</v>
      </c>
    </row>
    <row r="4898" spans="1:1">
      <c r="A4898" s="2">
        <v>3.78</v>
      </c>
    </row>
    <row r="4899" spans="1:1">
      <c r="A4899" s="2">
        <v>3.52</v>
      </c>
    </row>
    <row r="4900" spans="1:1">
      <c r="A4900" s="2">
        <v>3.78</v>
      </c>
    </row>
    <row r="4901" spans="1:1">
      <c r="A4901" s="2">
        <v>3.78</v>
      </c>
    </row>
    <row r="4902" spans="1:1">
      <c r="A4902" s="2">
        <v>3.53</v>
      </c>
    </row>
    <row r="4903" spans="1:1">
      <c r="A4903" s="2">
        <v>3.65</v>
      </c>
    </row>
    <row r="4904" spans="1:1">
      <c r="A4904" s="2">
        <v>3.75</v>
      </c>
    </row>
    <row r="4905" spans="1:1">
      <c r="A4905" s="2">
        <v>3.57</v>
      </c>
    </row>
    <row r="4906" spans="1:1">
      <c r="A4906" s="2">
        <v>3.52</v>
      </c>
    </row>
    <row r="4907" spans="1:1">
      <c r="A4907" s="2">
        <v>3.52</v>
      </c>
    </row>
    <row r="4908" spans="1:1">
      <c r="A4908" s="2">
        <v>3.77</v>
      </c>
    </row>
    <row r="4909" spans="1:1">
      <c r="A4909" s="2">
        <v>3.7</v>
      </c>
    </row>
    <row r="4910" spans="1:1">
      <c r="A4910" s="2">
        <v>3.52</v>
      </c>
    </row>
    <row r="4911" spans="1:1">
      <c r="A4911" s="2">
        <v>3.52</v>
      </c>
    </row>
    <row r="4912" spans="1:1">
      <c r="A4912" s="2">
        <v>3.52</v>
      </c>
    </row>
    <row r="4913" spans="1:1">
      <c r="A4913" s="2">
        <v>3.48</v>
      </c>
    </row>
    <row r="4914" spans="1:1">
      <c r="A4914" s="2">
        <v>3.54</v>
      </c>
    </row>
    <row r="4915" spans="1:1">
      <c r="A4915" s="2">
        <v>3.52</v>
      </c>
    </row>
    <row r="4916" spans="1:1">
      <c r="A4916" s="2">
        <v>3.44</v>
      </c>
    </row>
    <row r="4917" spans="1:1">
      <c r="A4917" s="2">
        <v>3.52</v>
      </c>
    </row>
    <row r="4918" spans="1:1">
      <c r="A4918" s="2">
        <v>3.64</v>
      </c>
    </row>
    <row r="4919" spans="1:1">
      <c r="A4919" s="2">
        <v>3.52</v>
      </c>
    </row>
    <row r="4920" spans="1:1">
      <c r="A4920" s="2">
        <v>3.55</v>
      </c>
    </row>
    <row r="4921" spans="1:1">
      <c r="A4921" s="2">
        <v>3.72</v>
      </c>
    </row>
    <row r="4922" spans="1:1">
      <c r="A4922" s="2">
        <v>3.75</v>
      </c>
    </row>
    <row r="4923" spans="1:1">
      <c r="A4923" s="2">
        <v>3.52</v>
      </c>
    </row>
    <row r="4924" spans="1:1">
      <c r="A4924" s="2">
        <v>3.78</v>
      </c>
    </row>
    <row r="4925" spans="1:1">
      <c r="A4925" s="2">
        <v>3.52</v>
      </c>
    </row>
    <row r="4926" spans="1:1">
      <c r="A4926" s="2">
        <v>3.52</v>
      </c>
    </row>
    <row r="4927" spans="1:1">
      <c r="A4927" s="2">
        <v>3.79</v>
      </c>
    </row>
    <row r="4928" spans="1:1">
      <c r="A4928" s="2">
        <v>3.54</v>
      </c>
    </row>
    <row r="4929" spans="1:1">
      <c r="A4929" s="2">
        <v>3.52</v>
      </c>
    </row>
    <row r="4930" spans="1:1">
      <c r="A4930" s="2">
        <v>3.52</v>
      </c>
    </row>
    <row r="4931" spans="1:1">
      <c r="A4931" s="2">
        <v>3.52</v>
      </c>
    </row>
    <row r="4932" spans="1:1">
      <c r="A4932" s="2">
        <v>3.77</v>
      </c>
    </row>
    <row r="4933" spans="1:1">
      <c r="A4933" s="2">
        <v>3.76</v>
      </c>
    </row>
    <row r="4934" spans="1:1">
      <c r="A4934" s="2">
        <v>3.48</v>
      </c>
    </row>
    <row r="4935" spans="1:1">
      <c r="A4935" s="2">
        <v>3.45</v>
      </c>
    </row>
    <row r="4936" spans="1:1">
      <c r="A4936" s="2">
        <v>3.76</v>
      </c>
    </row>
    <row r="4937" spans="1:1">
      <c r="A4937" s="2">
        <v>3.76</v>
      </c>
    </row>
    <row r="4938" spans="1:1">
      <c r="A4938" s="2">
        <v>3.73</v>
      </c>
    </row>
    <row r="4939" spans="1:1">
      <c r="A4939" s="2">
        <v>3.57</v>
      </c>
    </row>
    <row r="4940" spans="1:1">
      <c r="A4940" s="2">
        <v>3.42</v>
      </c>
    </row>
    <row r="4941" spans="1:1">
      <c r="A4941" s="2">
        <v>3.76</v>
      </c>
    </row>
    <row r="4942" spans="1:1">
      <c r="A4942" s="2">
        <v>3.52</v>
      </c>
    </row>
    <row r="4943" spans="1:1">
      <c r="A4943" s="2">
        <v>3.66</v>
      </c>
    </row>
    <row r="4944" spans="1:1">
      <c r="A4944" s="2">
        <v>3.58</v>
      </c>
    </row>
    <row r="4945" spans="1:1">
      <c r="A4945" s="2">
        <v>3.52</v>
      </c>
    </row>
    <row r="4946" spans="1:1">
      <c r="A4946" s="2">
        <v>3.52</v>
      </c>
    </row>
    <row r="4947" spans="1:1">
      <c r="A4947" s="2">
        <v>3.63</v>
      </c>
    </row>
    <row r="4948" spans="1:1">
      <c r="A4948" s="2">
        <v>3.52</v>
      </c>
    </row>
    <row r="4949" spans="1:1">
      <c r="A4949" s="2">
        <v>3.5</v>
      </c>
    </row>
    <row r="4950" spans="1:1">
      <c r="A4950" s="2">
        <v>3.52</v>
      </c>
    </row>
    <row r="4951" spans="1:1">
      <c r="A4951" s="2">
        <v>3.64</v>
      </c>
    </row>
    <row r="4952" spans="1:1">
      <c r="A4952" s="2">
        <v>3.7</v>
      </c>
    </row>
    <row r="4953" spans="1:1">
      <c r="A4953" s="2">
        <v>3.53</v>
      </c>
    </row>
    <row r="4954" spans="1:1">
      <c r="A4954" s="2">
        <v>3.52</v>
      </c>
    </row>
    <row r="4955" spans="1:1">
      <c r="A4955" s="2">
        <v>3.43</v>
      </c>
    </row>
    <row r="4956" spans="1:1">
      <c r="A4956" s="2">
        <v>3.52</v>
      </c>
    </row>
    <row r="4957" spans="1:1">
      <c r="A4957" s="2">
        <v>3.64</v>
      </c>
    </row>
    <row r="4958" spans="1:1">
      <c r="A4958" s="2">
        <v>3.52</v>
      </c>
    </row>
    <row r="4959" spans="1:1">
      <c r="A4959" s="2">
        <v>3.45</v>
      </c>
    </row>
    <row r="4960" spans="1:1">
      <c r="A4960" s="2">
        <v>3.45</v>
      </c>
    </row>
    <row r="4961" spans="1:1">
      <c r="A4961" s="2">
        <v>3.78</v>
      </c>
    </row>
    <row r="4962" spans="1:1">
      <c r="A4962" s="2">
        <v>3.78</v>
      </c>
    </row>
    <row r="4963" spans="1:1">
      <c r="A4963" s="2">
        <v>3.52</v>
      </c>
    </row>
    <row r="4964" spans="1:1">
      <c r="A4964" s="2">
        <v>3.6</v>
      </c>
    </row>
    <row r="4965" spans="1:1">
      <c r="A4965" s="2">
        <v>3.47</v>
      </c>
    </row>
    <row r="4966" spans="1:1">
      <c r="A4966" s="2">
        <v>3.51</v>
      </c>
    </row>
    <row r="4967" spans="1:1">
      <c r="A4967" s="2">
        <v>3.52</v>
      </c>
    </row>
    <row r="4968" spans="1:1">
      <c r="A4968" s="2">
        <v>3.52</v>
      </c>
    </row>
    <row r="4969" spans="1:1">
      <c r="A4969" s="2">
        <v>3.52</v>
      </c>
    </row>
    <row r="4970" spans="1:1">
      <c r="A4970" s="2">
        <v>3.52</v>
      </c>
    </row>
    <row r="4971" spans="1:1">
      <c r="A4971" s="2">
        <v>3.63</v>
      </c>
    </row>
    <row r="4972" spans="1:1">
      <c r="A4972" s="2">
        <v>3.51</v>
      </c>
    </row>
    <row r="4973" spans="1:1">
      <c r="A4973" s="2">
        <v>3.52</v>
      </c>
    </row>
    <row r="4974" spans="1:1">
      <c r="A4974" s="2">
        <v>3.47</v>
      </c>
    </row>
    <row r="4975" spans="1:1">
      <c r="A4975" s="2">
        <v>3.79</v>
      </c>
    </row>
    <row r="4976" spans="1:1">
      <c r="A4976" s="2">
        <v>3.52</v>
      </c>
    </row>
    <row r="4977" spans="1:1">
      <c r="A4977" s="2">
        <v>3.8</v>
      </c>
    </row>
    <row r="4978" spans="1:1">
      <c r="A4978" s="2">
        <v>3.62</v>
      </c>
    </row>
    <row r="4979" spans="1:1">
      <c r="A4979" s="2">
        <v>3.6</v>
      </c>
    </row>
    <row r="4980" spans="1:1">
      <c r="A4980" s="2">
        <v>3.65</v>
      </c>
    </row>
    <row r="4981" spans="1:1">
      <c r="A4981" s="2">
        <v>3.52</v>
      </c>
    </row>
    <row r="4982" spans="1:1">
      <c r="A4982" s="2">
        <v>3.45</v>
      </c>
    </row>
    <row r="4983" spans="1:1">
      <c r="A4983" s="2">
        <v>3.52</v>
      </c>
    </row>
    <row r="4984" spans="1:1">
      <c r="A4984" s="2">
        <v>3.78</v>
      </c>
    </row>
    <row r="4985" spans="1:1">
      <c r="A4985" s="2">
        <v>3.52</v>
      </c>
    </row>
    <row r="4986" spans="1:1">
      <c r="A4986" s="2">
        <v>3.52</v>
      </c>
    </row>
    <row r="4987" spans="1:1">
      <c r="A4987" s="2">
        <v>3.52</v>
      </c>
    </row>
    <row r="4988" spans="1:1">
      <c r="A4988" s="2">
        <v>3.52</v>
      </c>
    </row>
    <row r="4989" spans="1:1">
      <c r="A4989" s="2">
        <v>3.69</v>
      </c>
    </row>
    <row r="4990" spans="1:1">
      <c r="A4990" s="2">
        <v>3.52</v>
      </c>
    </row>
    <row r="4991" spans="1:1">
      <c r="A4991" s="2">
        <v>3.41</v>
      </c>
    </row>
    <row r="4992" spans="1:1">
      <c r="A4992" s="2">
        <v>3.52</v>
      </c>
    </row>
    <row r="4993" spans="1:1">
      <c r="A4993" s="2">
        <v>3.56</v>
      </c>
    </row>
    <row r="4994" spans="1:1">
      <c r="A4994" s="2">
        <v>3.52</v>
      </c>
    </row>
    <row r="4995" spans="1:1">
      <c r="A4995" s="2">
        <v>3.52</v>
      </c>
    </row>
    <row r="4996" spans="1:1">
      <c r="A4996" s="2">
        <v>3.52</v>
      </c>
    </row>
    <row r="4997" spans="1:1">
      <c r="A4997" s="2">
        <v>3.61</v>
      </c>
    </row>
    <row r="4998" spans="1:1">
      <c r="A4998" s="2">
        <v>3.52</v>
      </c>
    </row>
    <row r="4999" spans="1:1">
      <c r="A4999" s="2">
        <v>3.53</v>
      </c>
    </row>
    <row r="5000" spans="1:1">
      <c r="A5000" s="2">
        <v>3.68</v>
      </c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1"/>
  <sheetViews>
    <sheetView topLeftCell="D5" zoomScale="175" zoomScaleNormal="175" workbookViewId="0">
      <selection activeCell="I11" sqref="I11"/>
    </sheetView>
  </sheetViews>
  <sheetFormatPr defaultRowHeight="14.45"/>
  <cols>
    <col min="5" max="5" width="12.140625" customWidth="1"/>
    <col min="6" max="6" width="10.7109375" bestFit="1" customWidth="1"/>
    <col min="7" max="7" width="10.7109375" customWidth="1"/>
    <col min="9" max="9" width="11.140625" customWidth="1"/>
    <col min="10" max="10" width="10.42578125" customWidth="1"/>
  </cols>
  <sheetData>
    <row r="1" spans="2:13">
      <c r="B1" s="111" t="s">
        <v>96</v>
      </c>
      <c r="C1" s="111" t="s">
        <v>97</v>
      </c>
      <c r="D1" s="5"/>
      <c r="E1" s="145" t="s">
        <v>98</v>
      </c>
      <c r="F1" s="145" t="s">
        <v>99</v>
      </c>
      <c r="G1" s="145" t="s">
        <v>100</v>
      </c>
      <c r="I1" s="146" t="s">
        <v>101</v>
      </c>
      <c r="J1" s="146" t="s">
        <v>102</v>
      </c>
    </row>
    <row r="2" spans="2:13">
      <c r="B2" s="93">
        <v>33</v>
      </c>
      <c r="C2" s="93">
        <v>200</v>
      </c>
      <c r="D2" s="1"/>
      <c r="E2" s="147">
        <v>865</v>
      </c>
      <c r="F2" s="147">
        <v>102</v>
      </c>
      <c r="G2" s="147" t="s">
        <v>3</v>
      </c>
      <c r="I2" s="148">
        <v>180</v>
      </c>
      <c r="J2" s="148">
        <v>50</v>
      </c>
      <c r="M2">
        <v>2</v>
      </c>
    </row>
    <row r="3" spans="2:13">
      <c r="B3" s="93">
        <v>33</v>
      </c>
      <c r="C3" s="93">
        <v>120</v>
      </c>
      <c r="D3" s="1"/>
      <c r="E3" s="147">
        <v>885</v>
      </c>
      <c r="F3" s="147">
        <v>124</v>
      </c>
      <c r="G3" s="147" t="s">
        <v>8</v>
      </c>
      <c r="I3" s="148">
        <v>170</v>
      </c>
      <c r="J3" s="148">
        <v>60</v>
      </c>
      <c r="M3">
        <v>4</v>
      </c>
    </row>
    <row r="4" spans="2:13">
      <c r="B4" s="93">
        <v>31</v>
      </c>
      <c r="C4" s="93">
        <v>210</v>
      </c>
      <c r="D4" s="1"/>
      <c r="E4" s="147">
        <v>890</v>
      </c>
      <c r="F4" s="147">
        <v>128</v>
      </c>
      <c r="G4" s="147" t="s">
        <v>3</v>
      </c>
      <c r="I4" s="148">
        <v>175</v>
      </c>
      <c r="J4" s="148">
        <v>70</v>
      </c>
    </row>
    <row r="5" spans="2:13">
      <c r="B5" s="93">
        <v>21</v>
      </c>
      <c r="C5" s="93">
        <v>80</v>
      </c>
      <c r="D5" s="1"/>
      <c r="E5" s="147">
        <v>895</v>
      </c>
      <c r="F5" s="147">
        <v>129</v>
      </c>
      <c r="G5" s="147" t="s">
        <v>8</v>
      </c>
      <c r="I5" s="148">
        <v>177</v>
      </c>
      <c r="J5" s="148">
        <v>55</v>
      </c>
    </row>
    <row r="6" spans="2:13">
      <c r="B6" s="93">
        <v>35</v>
      </c>
      <c r="C6" s="93">
        <v>170</v>
      </c>
      <c r="D6" s="1"/>
      <c r="E6" s="147">
        <v>905</v>
      </c>
      <c r="F6" s="147">
        <v>132</v>
      </c>
      <c r="G6" s="147" t="s">
        <v>3</v>
      </c>
      <c r="I6" s="148">
        <v>176</v>
      </c>
      <c r="J6" s="148">
        <v>54</v>
      </c>
    </row>
    <row r="7" spans="2:13">
      <c r="B7" s="93">
        <v>21</v>
      </c>
      <c r="C7" s="93">
        <v>100</v>
      </c>
      <c r="D7" s="1"/>
      <c r="E7" s="147">
        <v>905</v>
      </c>
      <c r="F7" s="147">
        <v>132</v>
      </c>
      <c r="G7" s="147" t="s">
        <v>8</v>
      </c>
      <c r="I7" s="148">
        <v>177</v>
      </c>
      <c r="J7" s="148">
        <v>53</v>
      </c>
    </row>
    <row r="8" spans="2:13">
      <c r="B8" s="93">
        <v>39</v>
      </c>
      <c r="C8" s="93">
        <v>190</v>
      </c>
      <c r="D8" s="1"/>
      <c r="E8" s="147">
        <v>905</v>
      </c>
      <c r="F8" s="147">
        <v>132</v>
      </c>
      <c r="G8" s="147" t="s">
        <v>3</v>
      </c>
      <c r="I8" s="148">
        <v>180</v>
      </c>
      <c r="J8" s="148">
        <v>51</v>
      </c>
    </row>
    <row r="9" spans="2:13">
      <c r="B9" s="93">
        <v>49</v>
      </c>
      <c r="C9" s="93">
        <v>300</v>
      </c>
      <c r="D9" s="1"/>
      <c r="E9" s="147">
        <v>910</v>
      </c>
      <c r="F9" s="147">
        <v>139</v>
      </c>
      <c r="G9" s="147" t="s">
        <v>3</v>
      </c>
      <c r="I9" s="148">
        <v>181</v>
      </c>
      <c r="J9" s="148">
        <v>52</v>
      </c>
    </row>
    <row r="10" spans="2:13">
      <c r="B10" s="93">
        <v>56</v>
      </c>
      <c r="C10" s="93">
        <v>150</v>
      </c>
      <c r="D10" s="1"/>
      <c r="E10" s="147">
        <v>915</v>
      </c>
      <c r="F10" s="147">
        <v>142</v>
      </c>
      <c r="G10" s="147" t="s">
        <v>8</v>
      </c>
      <c r="I10" s="148">
        <v>170</v>
      </c>
      <c r="J10" s="148">
        <v>61</v>
      </c>
    </row>
    <row r="11" spans="2:13">
      <c r="B11" s="93">
        <v>32</v>
      </c>
      <c r="C11" s="93">
        <v>100</v>
      </c>
      <c r="D11" s="1"/>
      <c r="E11" s="147">
        <v>915</v>
      </c>
      <c r="F11" s="147">
        <v>142</v>
      </c>
      <c r="G11" s="147" t="s">
        <v>3</v>
      </c>
      <c r="I11" s="148">
        <v>174</v>
      </c>
      <c r="J11" s="148">
        <v>62</v>
      </c>
    </row>
    <row r="12" spans="2:13">
      <c r="B12" s="93">
        <v>22</v>
      </c>
      <c r="C12" s="93">
        <v>100</v>
      </c>
      <c r="D12" s="1"/>
      <c r="E12" s="147">
        <v>920</v>
      </c>
      <c r="F12" s="147">
        <v>146</v>
      </c>
      <c r="G12" s="147" t="s">
        <v>8</v>
      </c>
      <c r="I12" s="148">
        <v>175</v>
      </c>
      <c r="J12" s="148">
        <v>67</v>
      </c>
    </row>
    <row r="13" spans="2:13">
      <c r="B13" s="93">
        <v>46</v>
      </c>
      <c r="C13" s="93">
        <v>150</v>
      </c>
      <c r="D13" s="1"/>
      <c r="E13" s="147">
        <v>925</v>
      </c>
      <c r="F13" s="147">
        <v>148</v>
      </c>
      <c r="G13" s="147" t="s">
        <v>3</v>
      </c>
      <c r="I13" s="148">
        <v>174</v>
      </c>
      <c r="J13" s="148">
        <v>68</v>
      </c>
    </row>
    <row r="14" spans="2:13">
      <c r="B14" s="93">
        <v>27</v>
      </c>
      <c r="C14" s="93">
        <v>60</v>
      </c>
      <c r="D14" s="1"/>
      <c r="E14" s="147">
        <v>925</v>
      </c>
      <c r="F14" s="147">
        <v>148</v>
      </c>
      <c r="G14" s="147" t="s">
        <v>3</v>
      </c>
      <c r="I14" s="148">
        <v>174</v>
      </c>
      <c r="J14" s="148">
        <v>43</v>
      </c>
    </row>
    <row r="15" spans="2:13">
      <c r="B15" s="93">
        <v>41</v>
      </c>
      <c r="C15" s="93">
        <v>250</v>
      </c>
      <c r="D15" s="1"/>
      <c r="E15" s="147">
        <v>930</v>
      </c>
      <c r="F15" s="147">
        <v>150</v>
      </c>
      <c r="G15" s="147" t="s">
        <v>8</v>
      </c>
      <c r="I15" s="148">
        <v>176</v>
      </c>
      <c r="J15" s="148">
        <v>48</v>
      </c>
    </row>
    <row r="16" spans="2:13">
      <c r="B16" s="93">
        <v>27</v>
      </c>
      <c r="C16" s="93">
        <v>60</v>
      </c>
      <c r="D16" s="1"/>
      <c r="E16" s="147">
        <v>930</v>
      </c>
      <c r="F16" s="147">
        <v>151</v>
      </c>
      <c r="G16" s="147" t="s">
        <v>8</v>
      </c>
    </row>
    <row r="17" spans="2:7">
      <c r="B17" s="93">
        <v>32</v>
      </c>
      <c r="C17" s="93">
        <v>150</v>
      </c>
      <c r="D17" s="1"/>
      <c r="E17" s="1"/>
      <c r="F17" s="1"/>
      <c r="G17" s="1"/>
    </row>
    <row r="18" spans="2:7">
      <c r="B18" s="93">
        <v>28</v>
      </c>
      <c r="C18" s="93">
        <v>70</v>
      </c>
      <c r="D18" s="1"/>
      <c r="E18" s="1"/>
      <c r="F18" s="1"/>
      <c r="G18" s="1"/>
    </row>
    <row r="19" spans="2:7">
      <c r="B19" s="93">
        <v>41</v>
      </c>
      <c r="C19" s="93">
        <v>130</v>
      </c>
      <c r="D19" s="1"/>
      <c r="E19" s="1"/>
      <c r="F19" s="1"/>
      <c r="G19" s="1"/>
    </row>
    <row r="20" spans="2:7">
      <c r="B20" s="93">
        <v>22</v>
      </c>
      <c r="C20" s="93">
        <v>60</v>
      </c>
      <c r="D20" s="1"/>
      <c r="E20" s="1"/>
      <c r="F20" s="1"/>
      <c r="G20" s="1"/>
    </row>
    <row r="21" spans="2:7">
      <c r="B21" s="93">
        <v>55</v>
      </c>
      <c r="C21" s="93">
        <v>110</v>
      </c>
    </row>
    <row r="22" spans="2:7">
      <c r="B22" s="93">
        <v>22</v>
      </c>
      <c r="C22" s="93">
        <v>70</v>
      </c>
    </row>
    <row r="23" spans="2:7">
      <c r="B23" s="93">
        <v>31</v>
      </c>
      <c r="C23" s="93">
        <v>220</v>
      </c>
    </row>
    <row r="24" spans="2:7">
      <c r="B24" s="93">
        <v>21</v>
      </c>
      <c r="C24" s="93">
        <v>80</v>
      </c>
    </row>
    <row r="25" spans="2:7">
      <c r="B25" s="93">
        <v>24</v>
      </c>
      <c r="C25" s="93">
        <v>50</v>
      </c>
    </row>
    <row r="26" spans="2:7">
      <c r="B26" s="93">
        <v>26</v>
      </c>
      <c r="C26" s="93">
        <v>120</v>
      </c>
    </row>
    <row r="27" spans="2:7">
      <c r="B27" s="93">
        <v>21</v>
      </c>
      <c r="C27" s="93">
        <v>80</v>
      </c>
    </row>
    <row r="28" spans="2:7">
      <c r="B28" s="93">
        <v>20</v>
      </c>
      <c r="C28" s="93">
        <v>120</v>
      </c>
    </row>
    <row r="29" spans="2:7">
      <c r="B29" s="93">
        <v>22</v>
      </c>
      <c r="C29" s="93">
        <v>130</v>
      </c>
    </row>
    <row r="30" spans="2:7">
      <c r="B30" s="93">
        <v>29</v>
      </c>
      <c r="C30" s="93">
        <v>100</v>
      </c>
    </row>
    <row r="31" spans="2:7">
      <c r="B31" s="93">
        <v>44</v>
      </c>
      <c r="C31" s="93">
        <v>120</v>
      </c>
    </row>
    <row r="32" spans="2:7">
      <c r="B32" s="93">
        <v>32</v>
      </c>
      <c r="C32" s="93">
        <v>70</v>
      </c>
    </row>
    <row r="33" spans="2:3">
      <c r="B33" s="93">
        <v>42</v>
      </c>
      <c r="C33" s="93">
        <v>200</v>
      </c>
    </row>
    <row r="34" spans="2:3">
      <c r="B34" s="93">
        <v>26</v>
      </c>
      <c r="C34" s="93">
        <v>50</v>
      </c>
    </row>
    <row r="35" spans="2:3">
      <c r="B35" s="93">
        <v>34</v>
      </c>
      <c r="C35" s="93">
        <v>100</v>
      </c>
    </row>
    <row r="36" spans="2:3">
      <c r="B36" s="93">
        <v>43</v>
      </c>
      <c r="C36" s="93">
        <v>120</v>
      </c>
    </row>
    <row r="37" spans="2:3">
      <c r="B37" s="93">
        <v>47</v>
      </c>
      <c r="C37" s="93">
        <v>130</v>
      </c>
    </row>
    <row r="38" spans="2:3">
      <c r="B38" s="93">
        <v>35</v>
      </c>
      <c r="C38" s="93">
        <v>90</v>
      </c>
    </row>
    <row r="39" spans="2:3">
      <c r="B39" s="93">
        <v>32</v>
      </c>
      <c r="C39" s="93">
        <v>80</v>
      </c>
    </row>
    <row r="40" spans="2:3">
      <c r="B40" s="93">
        <v>26</v>
      </c>
      <c r="C40" s="93">
        <v>80</v>
      </c>
    </row>
    <row r="41" spans="2:3">
      <c r="B41" s="93">
        <v>53</v>
      </c>
      <c r="C41" s="93">
        <v>150</v>
      </c>
    </row>
    <row r="42" spans="2:3">
      <c r="B42" s="93">
        <v>52</v>
      </c>
      <c r="C42" s="93">
        <v>200</v>
      </c>
    </row>
    <row r="43" spans="2:3">
      <c r="B43" s="93">
        <v>23</v>
      </c>
      <c r="C43" s="93">
        <v>100</v>
      </c>
    </row>
    <row r="44" spans="2:3">
      <c r="B44" s="93">
        <v>33</v>
      </c>
      <c r="C44" s="93">
        <v>110</v>
      </c>
    </row>
    <row r="45" spans="2:3">
      <c r="B45" s="93">
        <v>56</v>
      </c>
      <c r="C45" s="93">
        <v>350</v>
      </c>
    </row>
    <row r="46" spans="2:3">
      <c r="B46" s="93">
        <v>48</v>
      </c>
      <c r="C46" s="93">
        <v>230</v>
      </c>
    </row>
    <row r="47" spans="2:3">
      <c r="B47" s="93">
        <v>34</v>
      </c>
      <c r="C47" s="93">
        <v>90</v>
      </c>
    </row>
    <row r="48" spans="2:3">
      <c r="B48" s="93">
        <v>23</v>
      </c>
      <c r="C48" s="93">
        <v>70</v>
      </c>
    </row>
    <row r="49" spans="2:3">
      <c r="B49" s="93">
        <v>37</v>
      </c>
      <c r="C49" s="93">
        <v>120</v>
      </c>
    </row>
    <row r="50" spans="2:3">
      <c r="B50" s="93">
        <v>59</v>
      </c>
      <c r="C50" s="93">
        <v>230</v>
      </c>
    </row>
    <row r="51" spans="2:3">
      <c r="B51" s="93">
        <v>38</v>
      </c>
      <c r="C51" s="93">
        <v>60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H16"/>
  <sheetViews>
    <sheetView tabSelected="1" zoomScale="145" zoomScaleNormal="145" workbookViewId="0">
      <selection activeCell="D16" sqref="D16"/>
    </sheetView>
  </sheetViews>
  <sheetFormatPr defaultRowHeight="14.45"/>
  <cols>
    <col min="2" max="2" width="18.5703125" bestFit="1" customWidth="1"/>
    <col min="7" max="7" width="19.5703125" bestFit="1" customWidth="1"/>
    <col min="8" max="8" width="12" bestFit="1" customWidth="1"/>
  </cols>
  <sheetData>
    <row r="1" spans="1:8">
      <c r="A1" s="17" t="s">
        <v>103</v>
      </c>
      <c r="B1" s="17" t="s">
        <v>104</v>
      </c>
    </row>
    <row r="2" spans="1:8">
      <c r="A2" s="17">
        <v>1</v>
      </c>
      <c r="B2" s="17">
        <v>145</v>
      </c>
      <c r="D2" t="s">
        <v>10</v>
      </c>
      <c r="E2">
        <f>AVERAGE(B2:B16)</f>
        <v>145.66666666666666</v>
      </c>
      <c r="G2" t="s">
        <v>105</v>
      </c>
      <c r="H2">
        <f>(150-E2)/(E3/E4)</f>
        <v>3.2944211948647908</v>
      </c>
    </row>
    <row r="3" spans="1:8">
      <c r="A3" s="17">
        <v>2</v>
      </c>
      <c r="B3" s="17">
        <v>158</v>
      </c>
      <c r="D3" t="s">
        <v>106</v>
      </c>
      <c r="E3">
        <f>STDEV(B2:B16)</f>
        <v>5.0943479418254265</v>
      </c>
      <c r="G3" t="s">
        <v>107</v>
      </c>
      <c r="H3">
        <f>_xlfn.T.DIST(3.29,14,FALSE)</f>
        <v>5.34035698510408E-3</v>
      </c>
    </row>
    <row r="4" spans="1:8">
      <c r="A4" s="17">
        <v>3</v>
      </c>
      <c r="B4" s="17">
        <v>143</v>
      </c>
      <c r="D4" t="s">
        <v>108</v>
      </c>
      <c r="E4">
        <f>SQRT(15)</f>
        <v>3.872983346207417</v>
      </c>
    </row>
    <row r="5" spans="1:8">
      <c r="A5" s="17">
        <v>4</v>
      </c>
      <c r="B5" s="17">
        <v>146</v>
      </c>
    </row>
    <row r="6" spans="1:8">
      <c r="A6" s="17">
        <v>5</v>
      </c>
      <c r="B6" s="17">
        <v>136</v>
      </c>
    </row>
    <row r="7" spans="1:8">
      <c r="A7" s="17">
        <v>6</v>
      </c>
      <c r="B7" s="17">
        <v>147</v>
      </c>
    </row>
    <row r="8" spans="1:8">
      <c r="A8" s="17">
        <v>7</v>
      </c>
      <c r="B8" s="17">
        <v>152</v>
      </c>
    </row>
    <row r="9" spans="1:8">
      <c r="A9" s="17">
        <v>8</v>
      </c>
      <c r="B9" s="17">
        <v>146</v>
      </c>
    </row>
    <row r="10" spans="1:8">
      <c r="A10" s="17">
        <v>9</v>
      </c>
      <c r="B10" s="17">
        <v>145</v>
      </c>
    </row>
    <row r="11" spans="1:8">
      <c r="A11" s="17">
        <v>10</v>
      </c>
      <c r="B11" s="17">
        <v>146</v>
      </c>
    </row>
    <row r="12" spans="1:8">
      <c r="A12" s="17">
        <v>11</v>
      </c>
      <c r="B12" s="17">
        <v>142</v>
      </c>
    </row>
    <row r="13" spans="1:8">
      <c r="A13" s="17">
        <v>12</v>
      </c>
      <c r="B13" s="17">
        <v>144</v>
      </c>
    </row>
    <row r="14" spans="1:8">
      <c r="A14" s="17">
        <v>13</v>
      </c>
      <c r="B14" s="17">
        <v>150</v>
      </c>
    </row>
    <row r="15" spans="1:8">
      <c r="A15" s="17">
        <v>14</v>
      </c>
      <c r="B15" s="17">
        <v>140</v>
      </c>
    </row>
    <row r="16" spans="1:8">
      <c r="A16" s="17">
        <v>15</v>
      </c>
      <c r="B16" s="17">
        <v>145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L19"/>
  <sheetViews>
    <sheetView zoomScale="130" zoomScaleNormal="130" workbookViewId="0">
      <selection activeCell="N3" sqref="N3"/>
    </sheetView>
  </sheetViews>
  <sheetFormatPr defaultRowHeight="14.45"/>
  <cols>
    <col min="4" max="5" width="0" hidden="1" customWidth="1"/>
    <col min="9" max="9" width="7" bestFit="1" customWidth="1"/>
  </cols>
  <sheetData>
    <row r="1" spans="1:12">
      <c r="A1" s="17" t="s">
        <v>109</v>
      </c>
      <c r="B1" s="17" t="s">
        <v>110</v>
      </c>
      <c r="D1" t="s">
        <v>111</v>
      </c>
      <c r="E1" t="s">
        <v>0</v>
      </c>
      <c r="H1" t="s">
        <v>112</v>
      </c>
    </row>
    <row r="2" spans="1:12">
      <c r="A2" s="17">
        <v>110</v>
      </c>
      <c r="B2" s="17">
        <v>105</v>
      </c>
      <c r="D2" s="17" t="s">
        <v>109</v>
      </c>
      <c r="E2" s="17">
        <v>110</v>
      </c>
      <c r="G2" t="s">
        <v>113</v>
      </c>
      <c r="H2" t="s">
        <v>114</v>
      </c>
      <c r="I2" t="s">
        <v>115</v>
      </c>
      <c r="K2" t="s">
        <v>114</v>
      </c>
      <c r="L2" t="s">
        <v>115</v>
      </c>
    </row>
    <row r="3" spans="1:12">
      <c r="A3" s="17">
        <v>108</v>
      </c>
      <c r="B3" s="17">
        <v>110</v>
      </c>
      <c r="D3" s="17" t="s">
        <v>109</v>
      </c>
      <c r="E3" s="17">
        <v>108</v>
      </c>
      <c r="G3">
        <v>1</v>
      </c>
      <c r="H3">
        <v>57</v>
      </c>
      <c r="I3">
        <v>32</v>
      </c>
      <c r="K3">
        <v>56</v>
      </c>
      <c r="L3">
        <v>36</v>
      </c>
    </row>
    <row r="4" spans="1:12">
      <c r="A4" s="17">
        <v>105</v>
      </c>
      <c r="B4" s="17">
        <v>113</v>
      </c>
      <c r="D4" s="17" t="s">
        <v>109</v>
      </c>
      <c r="E4" s="17">
        <v>105</v>
      </c>
      <c r="G4">
        <v>2</v>
      </c>
      <c r="H4">
        <v>59</v>
      </c>
      <c r="I4">
        <v>58</v>
      </c>
      <c r="K4">
        <v>50</v>
      </c>
      <c r="L4">
        <v>55</v>
      </c>
    </row>
    <row r="5" spans="1:12">
      <c r="A5" s="17">
        <v>102</v>
      </c>
      <c r="B5" s="17">
        <v>115</v>
      </c>
      <c r="D5" s="17" t="s">
        <v>109</v>
      </c>
      <c r="E5" s="17">
        <v>102</v>
      </c>
      <c r="G5">
        <v>3</v>
      </c>
      <c r="H5">
        <v>44</v>
      </c>
      <c r="I5">
        <v>59</v>
      </c>
      <c r="K5">
        <v>55</v>
      </c>
      <c r="L5">
        <v>48</v>
      </c>
    </row>
    <row r="6" spans="1:12">
      <c r="A6" s="17">
        <v>118</v>
      </c>
      <c r="B6" s="17">
        <v>108</v>
      </c>
      <c r="D6" s="17" t="s">
        <v>109</v>
      </c>
      <c r="E6" s="17">
        <v>118</v>
      </c>
      <c r="G6">
        <v>4</v>
      </c>
      <c r="H6">
        <v>40</v>
      </c>
      <c r="I6">
        <v>48</v>
      </c>
      <c r="K6">
        <v>42</v>
      </c>
      <c r="L6">
        <v>39</v>
      </c>
    </row>
    <row r="7" spans="1:12">
      <c r="A7" s="17">
        <v>101</v>
      </c>
      <c r="B7" s="17">
        <v>118</v>
      </c>
      <c r="D7" s="17" t="s">
        <v>109</v>
      </c>
      <c r="E7" s="17">
        <v>101</v>
      </c>
      <c r="G7">
        <v>5</v>
      </c>
      <c r="H7">
        <v>45</v>
      </c>
      <c r="I7">
        <v>39</v>
      </c>
      <c r="K7">
        <v>30</v>
      </c>
      <c r="L7">
        <v>52</v>
      </c>
    </row>
    <row r="8" spans="1:12">
      <c r="A8" s="17">
        <v>105</v>
      </c>
      <c r="B8" s="17">
        <v>109</v>
      </c>
      <c r="D8" s="17" t="s">
        <v>109</v>
      </c>
      <c r="E8" s="17">
        <v>105</v>
      </c>
      <c r="G8">
        <v>6</v>
      </c>
      <c r="H8">
        <v>42</v>
      </c>
      <c r="I8">
        <v>37</v>
      </c>
      <c r="K8">
        <v>51</v>
      </c>
      <c r="L8">
        <v>22</v>
      </c>
    </row>
    <row r="9" spans="1:12">
      <c r="A9" s="17">
        <v>110</v>
      </c>
      <c r="B9" s="17">
        <v>105</v>
      </c>
      <c r="D9" s="17" t="s">
        <v>109</v>
      </c>
      <c r="E9" s="17">
        <v>110</v>
      </c>
      <c r="G9">
        <v>7</v>
      </c>
      <c r="H9">
        <v>54</v>
      </c>
      <c r="I9">
        <v>46</v>
      </c>
      <c r="K9">
        <v>36</v>
      </c>
      <c r="L9">
        <v>55</v>
      </c>
    </row>
    <row r="10" spans="1:12">
      <c r="A10" s="17">
        <v>117</v>
      </c>
      <c r="B10" s="17">
        <v>120</v>
      </c>
      <c r="D10" s="17" t="s">
        <v>109</v>
      </c>
      <c r="E10" s="17">
        <v>117</v>
      </c>
      <c r="G10">
        <v>8</v>
      </c>
      <c r="H10">
        <v>34</v>
      </c>
      <c r="I10">
        <v>40</v>
      </c>
      <c r="K10">
        <v>21</v>
      </c>
      <c r="L10">
        <v>40</v>
      </c>
    </row>
    <row r="11" spans="1:12">
      <c r="D11" s="17" t="s">
        <v>110</v>
      </c>
      <c r="E11" s="17">
        <v>105</v>
      </c>
      <c r="G11">
        <v>9</v>
      </c>
      <c r="H11">
        <v>53</v>
      </c>
      <c r="I11">
        <v>29</v>
      </c>
      <c r="K11">
        <v>42</v>
      </c>
      <c r="L11">
        <v>55</v>
      </c>
    </row>
    <row r="12" spans="1:12">
      <c r="D12" s="17" t="s">
        <v>110</v>
      </c>
      <c r="E12" s="17">
        <v>110</v>
      </c>
      <c r="G12">
        <v>10</v>
      </c>
      <c r="H12">
        <v>24</v>
      </c>
      <c r="I12">
        <v>41</v>
      </c>
      <c r="K12">
        <v>34</v>
      </c>
      <c r="L12">
        <v>35</v>
      </c>
    </row>
    <row r="13" spans="1:12">
      <c r="D13" s="17" t="s">
        <v>110</v>
      </c>
      <c r="E13" s="17">
        <v>113</v>
      </c>
    </row>
    <row r="14" spans="1:12">
      <c r="D14" s="17" t="s">
        <v>110</v>
      </c>
      <c r="E14" s="17">
        <v>115</v>
      </c>
    </row>
    <row r="15" spans="1:12">
      <c r="D15" s="17" t="s">
        <v>110</v>
      </c>
      <c r="E15" s="17">
        <v>108</v>
      </c>
    </row>
    <row r="16" spans="1:12">
      <c r="D16" s="17" t="s">
        <v>110</v>
      </c>
      <c r="E16" s="17">
        <v>118</v>
      </c>
    </row>
    <row r="17" spans="4:5">
      <c r="D17" s="17" t="s">
        <v>110</v>
      </c>
      <c r="E17" s="17">
        <v>109</v>
      </c>
    </row>
    <row r="18" spans="4:5">
      <c r="D18" s="17" t="s">
        <v>110</v>
      </c>
      <c r="E18" s="17">
        <v>105</v>
      </c>
    </row>
    <row r="19" spans="4:5">
      <c r="D19" s="17" t="s">
        <v>110</v>
      </c>
      <c r="E19" s="17">
        <v>120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P31"/>
  <sheetViews>
    <sheetView zoomScale="115" zoomScaleNormal="115" workbookViewId="0">
      <selection activeCell="F29" sqref="F29"/>
    </sheetView>
  </sheetViews>
  <sheetFormatPr defaultRowHeight="14.45"/>
  <sheetData>
    <row r="1" spans="1:15">
      <c r="A1" s="17"/>
      <c r="B1" s="18" t="s">
        <v>3</v>
      </c>
      <c r="C1" s="18" t="s">
        <v>8</v>
      </c>
      <c r="D1" s="18" t="s">
        <v>116</v>
      </c>
      <c r="G1" t="s">
        <v>117</v>
      </c>
      <c r="H1" t="s">
        <v>70</v>
      </c>
      <c r="I1" t="s">
        <v>118</v>
      </c>
    </row>
    <row r="2" spans="1:15">
      <c r="A2" s="17">
        <v>1</v>
      </c>
      <c r="B2" s="17">
        <v>6</v>
      </c>
      <c r="C2" s="17">
        <v>5.0199999999999996</v>
      </c>
      <c r="D2" s="17">
        <v>5.51</v>
      </c>
      <c r="G2" t="s">
        <v>119</v>
      </c>
      <c r="H2">
        <v>22</v>
      </c>
      <c r="I2" t="s">
        <v>120</v>
      </c>
      <c r="L2" t="s">
        <v>121</v>
      </c>
    </row>
    <row r="3" spans="1:15">
      <c r="A3" s="17">
        <v>2</v>
      </c>
      <c r="B3" s="17">
        <v>6.08</v>
      </c>
      <c r="C3" s="17">
        <v>4.9800000000000004</v>
      </c>
      <c r="D3" s="17">
        <v>5.5</v>
      </c>
      <c r="G3" t="s">
        <v>119</v>
      </c>
      <c r="H3">
        <v>25</v>
      </c>
      <c r="I3" t="s">
        <v>120</v>
      </c>
      <c r="L3" t="s">
        <v>122</v>
      </c>
    </row>
    <row r="4" spans="1:15">
      <c r="A4" s="17">
        <v>3</v>
      </c>
      <c r="B4" s="17">
        <v>6.06</v>
      </c>
      <c r="C4" s="17">
        <v>4.95</v>
      </c>
      <c r="D4" s="17">
        <v>5.62</v>
      </c>
      <c r="G4" t="s">
        <v>119</v>
      </c>
      <c r="H4">
        <v>24</v>
      </c>
      <c r="I4" t="s">
        <v>120</v>
      </c>
      <c r="L4" t="s">
        <v>123</v>
      </c>
    </row>
    <row r="5" spans="1:15">
      <c r="A5" s="17">
        <v>4</v>
      </c>
      <c r="B5" s="17">
        <v>5.92</v>
      </c>
      <c r="C5" s="17">
        <v>4.8499999999999996</v>
      </c>
      <c r="D5" s="17">
        <v>5.54</v>
      </c>
      <c r="G5" t="s">
        <v>119</v>
      </c>
      <c r="H5">
        <v>28</v>
      </c>
      <c r="I5" t="s">
        <v>120</v>
      </c>
    </row>
    <row r="6" spans="1:15">
      <c r="A6" s="17">
        <v>5</v>
      </c>
      <c r="B6" s="17">
        <v>5.94</v>
      </c>
      <c r="C6" s="17">
        <v>5.08</v>
      </c>
      <c r="D6" s="17">
        <v>5.45</v>
      </c>
      <c r="G6" t="s">
        <v>119</v>
      </c>
      <c r="H6">
        <v>27</v>
      </c>
      <c r="I6" t="s">
        <v>120</v>
      </c>
    </row>
    <row r="7" spans="1:15">
      <c r="G7" t="s">
        <v>119</v>
      </c>
      <c r="H7">
        <v>28</v>
      </c>
      <c r="I7" t="s">
        <v>120</v>
      </c>
    </row>
    <row r="8" spans="1:15">
      <c r="G8" t="s">
        <v>119</v>
      </c>
      <c r="H8">
        <v>27</v>
      </c>
      <c r="I8" t="s">
        <v>120</v>
      </c>
    </row>
    <row r="9" spans="1:15">
      <c r="G9" t="s">
        <v>119</v>
      </c>
      <c r="H9">
        <v>29</v>
      </c>
      <c r="I9" t="s">
        <v>120</v>
      </c>
      <c r="L9" s="118" t="s">
        <v>124</v>
      </c>
      <c r="M9" s="118" t="s">
        <v>125</v>
      </c>
      <c r="N9" s="118" t="s">
        <v>126</v>
      </c>
      <c r="O9" s="118" t="s">
        <v>127</v>
      </c>
    </row>
    <row r="10" spans="1:15">
      <c r="G10" t="s">
        <v>119</v>
      </c>
      <c r="H10">
        <v>29</v>
      </c>
      <c r="I10" t="s">
        <v>120</v>
      </c>
      <c r="L10" s="118">
        <v>9.4382812505209088</v>
      </c>
      <c r="M10" s="118">
        <v>9.2448801535158793</v>
      </c>
      <c r="N10" s="118">
        <v>10.651830690992515</v>
      </c>
      <c r="O10" s="118">
        <v>9.4382812505209088</v>
      </c>
    </row>
    <row r="11" spans="1:15">
      <c r="G11" t="s">
        <v>119</v>
      </c>
      <c r="H11">
        <v>33</v>
      </c>
      <c r="I11" t="s">
        <v>120</v>
      </c>
      <c r="L11" s="118">
        <v>10.543554107396741</v>
      </c>
      <c r="M11" s="118">
        <v>9.7648836390345899</v>
      </c>
      <c r="N11" s="118">
        <v>9.7787351171868604</v>
      </c>
      <c r="O11" s="118">
        <v>10.543554107396741</v>
      </c>
    </row>
    <row r="12" spans="1:15">
      <c r="G12" t="s">
        <v>128</v>
      </c>
      <c r="H12">
        <v>18</v>
      </c>
      <c r="I12" t="s">
        <v>120</v>
      </c>
      <c r="L12" s="118">
        <v>9.9604804287886992</v>
      </c>
      <c r="M12" s="118">
        <v>10.459366648627595</v>
      </c>
      <c r="N12" s="118">
        <v>10.565180547075613</v>
      </c>
      <c r="O12" s="118">
        <v>9.9604804287886992</v>
      </c>
    </row>
    <row r="13" spans="1:15">
      <c r="G13" t="s">
        <v>128</v>
      </c>
      <c r="H13">
        <v>21</v>
      </c>
      <c r="I13" t="s">
        <v>120</v>
      </c>
      <c r="L13" s="118">
        <v>10.131865153514228</v>
      </c>
      <c r="M13" s="118">
        <v>8.912501860481445</v>
      </c>
      <c r="N13" s="118">
        <v>9.5141659389954309</v>
      </c>
      <c r="O13" s="118">
        <v>10.131865153514228</v>
      </c>
    </row>
    <row r="14" spans="1:15">
      <c r="G14" t="s">
        <v>128</v>
      </c>
      <c r="H14">
        <v>20</v>
      </c>
      <c r="I14" t="s">
        <v>120</v>
      </c>
      <c r="L14" s="118">
        <v>10.327672390012562</v>
      </c>
      <c r="M14" s="118">
        <v>9.699614675114745</v>
      </c>
      <c r="N14" s="118">
        <v>10.0359337883444</v>
      </c>
      <c r="O14" s="118">
        <v>10.327672390012562</v>
      </c>
    </row>
    <row r="15" spans="1:15">
      <c r="G15" t="s">
        <v>128</v>
      </c>
      <c r="H15">
        <v>26</v>
      </c>
      <c r="I15" t="s">
        <v>120</v>
      </c>
      <c r="L15" s="118"/>
      <c r="M15" s="118"/>
      <c r="N15" s="118"/>
      <c r="O15" s="118">
        <v>9.2448801535158793</v>
      </c>
    </row>
    <row r="16" spans="1:15">
      <c r="G16" t="s">
        <v>128</v>
      </c>
      <c r="H16">
        <v>23</v>
      </c>
      <c r="I16" t="s">
        <v>120</v>
      </c>
      <c r="L16" s="118"/>
      <c r="M16" s="118"/>
      <c r="N16" s="118"/>
      <c r="O16" s="118">
        <v>9.7648836390345899</v>
      </c>
    </row>
    <row r="17" spans="7:16">
      <c r="G17" t="s">
        <v>128</v>
      </c>
      <c r="H17">
        <v>24</v>
      </c>
      <c r="I17" t="s">
        <v>120</v>
      </c>
      <c r="L17" s="118"/>
      <c r="M17" s="118"/>
      <c r="N17" s="118"/>
      <c r="O17" s="118">
        <v>10.459366648627595</v>
      </c>
    </row>
    <row r="18" spans="7:16">
      <c r="G18" t="s">
        <v>128</v>
      </c>
      <c r="H18">
        <v>26</v>
      </c>
      <c r="I18" t="s">
        <v>120</v>
      </c>
      <c r="L18" s="118"/>
      <c r="M18" s="118"/>
      <c r="N18" s="118"/>
      <c r="O18" s="118">
        <v>8.912501860481445</v>
      </c>
    </row>
    <row r="19" spans="7:16">
      <c r="G19" t="s">
        <v>128</v>
      </c>
      <c r="H19">
        <v>26</v>
      </c>
      <c r="I19" t="s">
        <v>120</v>
      </c>
      <c r="L19" s="118"/>
      <c r="M19" s="118"/>
      <c r="N19" s="118"/>
      <c r="O19" s="118">
        <v>9.699614675114745</v>
      </c>
    </row>
    <row r="20" spans="7:16">
      <c r="G20" t="s">
        <v>128</v>
      </c>
      <c r="H20">
        <v>21</v>
      </c>
      <c r="I20" t="s">
        <v>120</v>
      </c>
      <c r="L20" s="118"/>
      <c r="M20" s="118"/>
      <c r="N20" s="118"/>
      <c r="O20" s="118">
        <v>10.651830690992515</v>
      </c>
    </row>
    <row r="21" spans="7:16">
      <c r="G21" t="s">
        <v>128</v>
      </c>
      <c r="H21">
        <v>22</v>
      </c>
      <c r="I21" t="s">
        <v>120</v>
      </c>
      <c r="L21" s="118"/>
      <c r="M21" s="118"/>
      <c r="N21" s="118"/>
      <c r="O21" s="118">
        <v>9.7787351171868604</v>
      </c>
    </row>
    <row r="22" spans="7:16">
      <c r="G22" t="s">
        <v>129</v>
      </c>
      <c r="H22">
        <v>20</v>
      </c>
      <c r="I22" t="s">
        <v>120</v>
      </c>
      <c r="L22" s="118"/>
      <c r="M22" s="118"/>
      <c r="N22" s="118"/>
      <c r="O22" s="118">
        <v>10.565180547075613</v>
      </c>
    </row>
    <row r="23" spans="7:16">
      <c r="G23" t="s">
        <v>129</v>
      </c>
      <c r="H23">
        <v>18</v>
      </c>
      <c r="I23" t="s">
        <v>120</v>
      </c>
      <c r="L23" s="118"/>
      <c r="M23" s="118"/>
      <c r="N23" s="118"/>
      <c r="O23" s="118">
        <v>9.5141659389954309</v>
      </c>
    </row>
    <row r="24" spans="7:16">
      <c r="G24" t="s">
        <v>129</v>
      </c>
      <c r="H24">
        <v>19</v>
      </c>
      <c r="I24" t="s">
        <v>120</v>
      </c>
      <c r="L24" s="118"/>
      <c r="M24" s="118"/>
      <c r="N24" s="118"/>
      <c r="O24" s="118">
        <v>10.0359337883444</v>
      </c>
    </row>
    <row r="25" spans="7:16" ht="16.5">
      <c r="G25" t="s">
        <v>129</v>
      </c>
      <c r="H25">
        <v>21</v>
      </c>
      <c r="I25" t="s">
        <v>120</v>
      </c>
      <c r="K25" t="s">
        <v>50</v>
      </c>
      <c r="L25">
        <f>_xlfn.STDEV.S(L10:L14)</f>
        <v>0.41982175139484185</v>
      </c>
      <c r="M25">
        <f t="shared" ref="M25:N25" si="0">_xlfn.STDEV.S(M10:M14)</f>
        <v>0.58588913577022372</v>
      </c>
      <c r="N25">
        <f t="shared" si="0"/>
        <v>0.49269839447651204</v>
      </c>
      <c r="O25" s="112">
        <f>_xlfn.STDEV.S(O10:O24)</f>
        <v>0.5219755601353594</v>
      </c>
      <c r="P25" s="112" t="s">
        <v>130</v>
      </c>
    </row>
    <row r="26" spans="7:16" ht="16.5">
      <c r="G26" t="s">
        <v>129</v>
      </c>
      <c r="H26">
        <v>26</v>
      </c>
      <c r="I26" t="s">
        <v>120</v>
      </c>
      <c r="K26" t="s">
        <v>131</v>
      </c>
      <c r="L26">
        <f>L25*L25</f>
        <v>0.17625030294423238</v>
      </c>
      <c r="M26">
        <f t="shared" ref="M26:O26" si="1">M25*M25</f>
        <v>0.34326607941357967</v>
      </c>
      <c r="N26">
        <f t="shared" si="1"/>
        <v>0.24275170791973266</v>
      </c>
      <c r="O26">
        <f t="shared" si="1"/>
        <v>0.27245848537862222</v>
      </c>
      <c r="P26">
        <v>4</v>
      </c>
    </row>
    <row r="27" spans="7:16" ht="17.45">
      <c r="G27" t="s">
        <v>129</v>
      </c>
      <c r="H27">
        <v>23</v>
      </c>
      <c r="I27" t="s">
        <v>120</v>
      </c>
      <c r="K27" s="112" t="s">
        <v>132</v>
      </c>
      <c r="L27" s="112">
        <f>SQRT(SUM(L26:N26)/3)</f>
        <v>0.50407277592213628</v>
      </c>
      <c r="M27" s="5" t="s">
        <v>133</v>
      </c>
      <c r="N27" s="5">
        <f>L27*L27</f>
        <v>0.2540893634258482</v>
      </c>
    </row>
    <row r="28" spans="7:16">
      <c r="G28" t="s">
        <v>129</v>
      </c>
      <c r="H28">
        <v>22</v>
      </c>
      <c r="I28" t="s">
        <v>120</v>
      </c>
      <c r="K28" s="112" t="s">
        <v>47</v>
      </c>
      <c r="L28" s="112">
        <f>AVERAGE(O10:O24)</f>
        <v>9.9352630926401471</v>
      </c>
    </row>
    <row r="29" spans="7:16" ht="16.5">
      <c r="G29" t="s">
        <v>129</v>
      </c>
      <c r="H29">
        <v>18</v>
      </c>
      <c r="I29" t="s">
        <v>120</v>
      </c>
      <c r="K29" t="s">
        <v>134</v>
      </c>
      <c r="L29">
        <f>SQRT(O26-N27)</f>
        <v>0.13553273387921463</v>
      </c>
    </row>
    <row r="30" spans="7:16">
      <c r="G30" t="s">
        <v>129</v>
      </c>
      <c r="H30">
        <v>19</v>
      </c>
      <c r="I30" t="s">
        <v>120</v>
      </c>
    </row>
    <row r="31" spans="7:16">
      <c r="G31" t="s">
        <v>129</v>
      </c>
      <c r="H31">
        <v>22</v>
      </c>
      <c r="I31" t="s">
        <v>120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27"/>
  <sheetViews>
    <sheetView topLeftCell="A13" zoomScale="175" zoomScaleNormal="175" workbookViewId="0">
      <selection activeCell="F19" sqref="F19"/>
    </sheetView>
  </sheetViews>
  <sheetFormatPr defaultRowHeight="14.45"/>
  <cols>
    <col min="2" max="2" width="13.5703125" bestFit="1" customWidth="1"/>
    <col min="3" max="3" width="12.5703125" bestFit="1" customWidth="1"/>
    <col min="8" max="8" width="11.85546875" bestFit="1" customWidth="1"/>
  </cols>
  <sheetData>
    <row r="2" spans="2:9">
      <c r="C2" s="17"/>
      <c r="D2" s="17" t="s">
        <v>135</v>
      </c>
      <c r="E2" s="17" t="s">
        <v>136</v>
      </c>
      <c r="F2" s="17" t="s">
        <v>137</v>
      </c>
    </row>
    <row r="3" spans="2:9">
      <c r="C3" s="17" t="s">
        <v>33</v>
      </c>
      <c r="D3" s="17">
        <v>71</v>
      </c>
      <c r="E3" s="17">
        <v>29</v>
      </c>
      <c r="F3" s="17">
        <v>43</v>
      </c>
      <c r="H3" t="s">
        <v>138</v>
      </c>
      <c r="I3" s="112">
        <f>STDEV(D3:F7)</f>
        <v>20.697825972792405</v>
      </c>
    </row>
    <row r="4" spans="2:9">
      <c r="C4" s="17" t="s">
        <v>35</v>
      </c>
      <c r="D4" s="17">
        <v>28</v>
      </c>
      <c r="E4" s="17">
        <v>92</v>
      </c>
      <c r="F4" s="17">
        <v>37</v>
      </c>
    </row>
    <row r="5" spans="2:9">
      <c r="C5" s="17" t="s">
        <v>38</v>
      </c>
      <c r="D5" s="17">
        <v>58</v>
      </c>
      <c r="E5" s="17">
        <v>56</v>
      </c>
      <c r="F5" s="17">
        <v>57</v>
      </c>
    </row>
    <row r="6" spans="2:9">
      <c r="C6" s="17" t="s">
        <v>41</v>
      </c>
      <c r="D6" s="17">
        <v>33</v>
      </c>
      <c r="E6" s="17">
        <v>84</v>
      </c>
      <c r="F6" s="17">
        <v>49</v>
      </c>
    </row>
    <row r="7" spans="2:9">
      <c r="C7" s="17" t="s">
        <v>44</v>
      </c>
      <c r="D7" s="17">
        <v>32</v>
      </c>
      <c r="E7" s="17">
        <v>23</v>
      </c>
      <c r="F7" s="17">
        <v>52</v>
      </c>
    </row>
    <row r="8" spans="2:9">
      <c r="C8" s="17" t="s">
        <v>47</v>
      </c>
      <c r="D8" s="17">
        <f>AVERAGE(D3:D7)</f>
        <v>44.4</v>
      </c>
      <c r="E8" s="17">
        <f t="shared" ref="E8:F8" si="0">AVERAGE(E3:E7)</f>
        <v>56.8</v>
      </c>
      <c r="F8" s="17">
        <f t="shared" si="0"/>
        <v>47.6</v>
      </c>
    </row>
    <row r="9" spans="2:9">
      <c r="C9" s="17" t="s">
        <v>58</v>
      </c>
      <c r="D9" s="17">
        <f>STDEV(D3:D7)</f>
        <v>19.007893097342489</v>
      </c>
      <c r="E9" s="17">
        <f t="shared" ref="E9:F9" si="1">STDEV(E3:E7)</f>
        <v>31.204166388480878</v>
      </c>
      <c r="F9" s="17">
        <f t="shared" si="1"/>
        <v>7.7974354758471831</v>
      </c>
    </row>
    <row r="10" spans="2:9" ht="16.5">
      <c r="B10" t="s">
        <v>139</v>
      </c>
      <c r="C10" s="17" t="s">
        <v>140</v>
      </c>
      <c r="D10" s="17">
        <f>D9*D9</f>
        <v>361.30000000000024</v>
      </c>
      <c r="E10" s="17">
        <f t="shared" ref="E10:F10" si="2">E9*E9</f>
        <v>973.69999999999982</v>
      </c>
      <c r="F10" s="17">
        <f t="shared" si="2"/>
        <v>60.800000000000189</v>
      </c>
    </row>
    <row r="11" spans="2:9">
      <c r="B11" t="s">
        <v>141</v>
      </c>
      <c r="C11">
        <f>AVERAGE(D10:F10)</f>
        <v>465.26666666666671</v>
      </c>
    </row>
    <row r="12" spans="2:9">
      <c r="B12" t="s">
        <v>142</v>
      </c>
      <c r="C12" s="112">
        <f>SQRT(C11)</f>
        <v>21.570040951900548</v>
      </c>
      <c r="D12" t="s">
        <v>143</v>
      </c>
    </row>
    <row r="15" spans="2:9">
      <c r="B15" t="s">
        <v>144</v>
      </c>
      <c r="C15" t="s">
        <v>145</v>
      </c>
      <c r="D15" t="s">
        <v>127</v>
      </c>
    </row>
    <row r="16" spans="2:9">
      <c r="B16">
        <v>18</v>
      </c>
      <c r="C16">
        <v>87</v>
      </c>
      <c r="D16">
        <v>18</v>
      </c>
    </row>
    <row r="17" spans="2:4">
      <c r="B17">
        <v>44</v>
      </c>
      <c r="C17">
        <v>83</v>
      </c>
      <c r="D17">
        <v>44</v>
      </c>
    </row>
    <row r="18" spans="2:4">
      <c r="B18">
        <v>37</v>
      </c>
      <c r="C18">
        <v>92</v>
      </c>
      <c r="D18">
        <v>37</v>
      </c>
    </row>
    <row r="19" spans="2:4">
      <c r="B19">
        <v>19</v>
      </c>
      <c r="C19">
        <v>78</v>
      </c>
      <c r="D19">
        <v>19</v>
      </c>
    </row>
    <row r="20" spans="2:4">
      <c r="B20">
        <v>33</v>
      </c>
      <c r="C20">
        <v>95</v>
      </c>
      <c r="D20">
        <v>33</v>
      </c>
    </row>
    <row r="21" spans="2:4">
      <c r="B21">
        <v>0</v>
      </c>
      <c r="C21">
        <v>68</v>
      </c>
      <c r="D21">
        <v>0</v>
      </c>
    </row>
    <row r="22" spans="2:4">
      <c r="D22">
        <v>87</v>
      </c>
    </row>
    <row r="23" spans="2:4">
      <c r="D23">
        <v>83</v>
      </c>
    </row>
    <row r="24" spans="2:4">
      <c r="D24">
        <v>92</v>
      </c>
    </row>
    <row r="25" spans="2:4">
      <c r="D25">
        <v>78</v>
      </c>
    </row>
    <row r="26" spans="2:4">
      <c r="D26">
        <v>95</v>
      </c>
    </row>
    <row r="27" spans="2:4">
      <c r="D27">
        <v>68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zoomScale="145" zoomScaleNormal="145" workbookViewId="0">
      <selection activeCell="F12" sqref="F12"/>
    </sheetView>
  </sheetViews>
  <sheetFormatPr defaultRowHeight="14.45"/>
  <cols>
    <col min="1" max="5" width="8.85546875" style="98"/>
    <col min="6" max="6" width="7" bestFit="1" customWidth="1"/>
  </cols>
  <sheetData>
    <row r="1" spans="1:5">
      <c r="A1" s="99" t="s">
        <v>146</v>
      </c>
      <c r="B1" s="99" t="s">
        <v>109</v>
      </c>
      <c r="C1" s="99" t="s">
        <v>110</v>
      </c>
      <c r="D1" s="99" t="s">
        <v>127</v>
      </c>
    </row>
    <row r="2" spans="1:5">
      <c r="A2" s="97">
        <v>1</v>
      </c>
      <c r="B2" s="97">
        <v>45</v>
      </c>
      <c r="C2" s="97">
        <v>5</v>
      </c>
      <c r="D2" s="97">
        <v>50</v>
      </c>
    </row>
    <row r="3" spans="1:5">
      <c r="A3" s="97">
        <v>2</v>
      </c>
      <c r="B3" s="97">
        <v>43</v>
      </c>
      <c r="C3" s="97">
        <v>7</v>
      </c>
      <c r="D3" s="97">
        <v>50</v>
      </c>
    </row>
    <row r="4" spans="1:5">
      <c r="A4" s="97">
        <v>3</v>
      </c>
      <c r="B4" s="97">
        <v>48</v>
      </c>
      <c r="C4" s="97">
        <v>2</v>
      </c>
      <c r="D4" s="97">
        <v>50</v>
      </c>
    </row>
    <row r="5" spans="1:5">
      <c r="A5" s="97">
        <v>4</v>
      </c>
      <c r="B5" s="97">
        <v>44</v>
      </c>
      <c r="C5" s="97">
        <v>6</v>
      </c>
      <c r="D5" s="97">
        <v>50</v>
      </c>
    </row>
    <row r="8" spans="1:5">
      <c r="A8" s="101"/>
      <c r="B8" s="133" t="s">
        <v>147</v>
      </c>
      <c r="C8" s="134"/>
      <c r="D8" s="134"/>
      <c r="E8" s="135"/>
    </row>
    <row r="9" spans="1:5">
      <c r="A9" s="101" t="s">
        <v>148</v>
      </c>
      <c r="B9" s="99" t="s">
        <v>149</v>
      </c>
      <c r="C9" s="99" t="s">
        <v>150</v>
      </c>
      <c r="D9" s="99" t="s">
        <v>151</v>
      </c>
      <c r="E9" s="99" t="s">
        <v>152</v>
      </c>
    </row>
    <row r="10" spans="1:5">
      <c r="A10" s="97">
        <v>1</v>
      </c>
      <c r="B10" s="97">
        <v>15</v>
      </c>
      <c r="C10" s="97">
        <v>21</v>
      </c>
      <c r="D10" s="97">
        <v>45</v>
      </c>
      <c r="E10" s="97">
        <v>13</v>
      </c>
    </row>
    <row r="11" spans="1:5">
      <c r="A11" s="97">
        <v>2</v>
      </c>
      <c r="B11" s="97">
        <v>26</v>
      </c>
      <c r="C11" s="97">
        <v>31</v>
      </c>
      <c r="D11" s="97">
        <v>34</v>
      </c>
      <c r="E11" s="97">
        <v>5</v>
      </c>
    </row>
    <row r="12" spans="1:5">
      <c r="A12" s="97">
        <v>3</v>
      </c>
      <c r="B12" s="97">
        <v>33</v>
      </c>
      <c r="C12" s="97">
        <v>17</v>
      </c>
      <c r="D12" s="97">
        <v>49</v>
      </c>
      <c r="E12" s="97">
        <v>20</v>
      </c>
    </row>
    <row r="16" spans="1:5">
      <c r="A16" s="100" t="s">
        <v>153</v>
      </c>
    </row>
    <row r="18" spans="1:5">
      <c r="A18" s="99" t="s">
        <v>154</v>
      </c>
      <c r="B18" s="99" t="s">
        <v>155</v>
      </c>
      <c r="C18" s="99" t="s">
        <v>156</v>
      </c>
      <c r="D18" s="99" t="s">
        <v>157</v>
      </c>
      <c r="E18" s="99" t="s">
        <v>127</v>
      </c>
    </row>
    <row r="19" spans="1:5">
      <c r="A19" s="97">
        <v>1</v>
      </c>
      <c r="B19" s="97">
        <v>48</v>
      </c>
      <c r="C19" s="97">
        <v>47</v>
      </c>
      <c r="D19" s="97">
        <v>48</v>
      </c>
      <c r="E19" s="97">
        <f>SUM(B19:D19)</f>
        <v>143</v>
      </c>
    </row>
    <row r="20" spans="1:5">
      <c r="A20" s="97">
        <v>2</v>
      </c>
      <c r="B20" s="97">
        <v>76</v>
      </c>
      <c r="C20" s="97">
        <v>47</v>
      </c>
      <c r="D20" s="97">
        <v>32</v>
      </c>
      <c r="E20" s="97">
        <f t="shared" ref="E20:E21" si="0">SUM(B20:D20)</f>
        <v>155</v>
      </c>
    </row>
    <row r="21" spans="1:5">
      <c r="A21" s="97">
        <v>3</v>
      </c>
      <c r="B21" s="97">
        <v>36</v>
      </c>
      <c r="C21" s="97">
        <v>40</v>
      </c>
      <c r="D21" s="97">
        <v>34</v>
      </c>
      <c r="E21" s="97">
        <f t="shared" si="0"/>
        <v>110</v>
      </c>
    </row>
    <row r="23" spans="1:5">
      <c r="A23" s="100"/>
    </row>
  </sheetData>
  <mergeCells count="1">
    <mergeCell ref="B8:E8"/>
  </mergeCell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15"/>
  <sheetViews>
    <sheetView zoomScale="145" zoomScaleNormal="145" workbookViewId="0">
      <selection activeCell="H7" sqref="H7"/>
    </sheetView>
  </sheetViews>
  <sheetFormatPr defaultRowHeight="14.45"/>
  <cols>
    <col min="2" max="2" width="14.5703125" bestFit="1" customWidth="1"/>
    <col min="4" max="4" width="11.28515625" bestFit="1" customWidth="1"/>
  </cols>
  <sheetData>
    <row r="1" spans="2:10">
      <c r="G1" s="125" t="s">
        <v>158</v>
      </c>
      <c r="H1" s="125"/>
      <c r="I1" s="125"/>
      <c r="J1" s="125"/>
    </row>
    <row r="2" spans="2:10">
      <c r="C2" s="122" t="s">
        <v>159</v>
      </c>
      <c r="D2" s="122"/>
      <c r="E2" s="122"/>
      <c r="G2" s="122" t="s">
        <v>160</v>
      </c>
      <c r="H2" s="122" t="s">
        <v>161</v>
      </c>
      <c r="I2" s="122" t="s">
        <v>162</v>
      </c>
      <c r="J2" s="122"/>
    </row>
    <row r="3" spans="2:10">
      <c r="C3" s="122" t="s">
        <v>163</v>
      </c>
      <c r="D3" s="122" t="s">
        <v>164</v>
      </c>
      <c r="E3" s="122">
        <v>10.01</v>
      </c>
      <c r="G3" s="122" t="s">
        <v>165</v>
      </c>
      <c r="H3" s="122" t="s">
        <v>166</v>
      </c>
      <c r="I3" s="122" t="s">
        <v>167</v>
      </c>
      <c r="J3" s="122" t="s">
        <v>168</v>
      </c>
    </row>
    <row r="4" spans="2:10">
      <c r="C4" s="122"/>
      <c r="D4" s="122"/>
      <c r="E4" s="122">
        <v>9.98</v>
      </c>
      <c r="G4" s="122" t="s">
        <v>169</v>
      </c>
      <c r="H4" s="122" t="s">
        <v>3</v>
      </c>
      <c r="I4" s="122">
        <v>9.9600000000000009</v>
      </c>
      <c r="J4" s="122">
        <v>9.9700000000000006</v>
      </c>
    </row>
    <row r="5" spans="2:10">
      <c r="C5" s="122"/>
      <c r="D5" s="122"/>
      <c r="E5" s="122">
        <v>9.99</v>
      </c>
      <c r="G5" s="122" t="s">
        <v>170</v>
      </c>
      <c r="H5" s="122" t="s">
        <v>3</v>
      </c>
      <c r="I5" s="122">
        <v>9.98</v>
      </c>
      <c r="J5" s="122">
        <v>9.9700000000000006</v>
      </c>
    </row>
    <row r="6" spans="2:10" ht="16.5">
      <c r="C6" s="17"/>
      <c r="D6" s="17" t="s">
        <v>171</v>
      </c>
      <c r="E6" s="17">
        <f>_xlfn.STDEV.S(E3:E5)</f>
        <v>1.527525231651914E-2</v>
      </c>
      <c r="G6" s="122" t="s">
        <v>169</v>
      </c>
      <c r="H6" s="122" t="s">
        <v>8</v>
      </c>
      <c r="I6" s="122">
        <v>10</v>
      </c>
      <c r="J6" s="122">
        <v>10.01</v>
      </c>
    </row>
    <row r="7" spans="2:10" ht="16.5">
      <c r="C7" s="17"/>
      <c r="D7" s="17" t="s">
        <v>172</v>
      </c>
      <c r="E7" s="17">
        <f>_xlfn.STDEV.S(I4:J7)</f>
        <v>2.1213203435595972E-2</v>
      </c>
      <c r="G7" s="122" t="s">
        <v>170</v>
      </c>
      <c r="H7" s="122" t="s">
        <v>8</v>
      </c>
      <c r="I7" s="122">
        <v>9.99</v>
      </c>
      <c r="J7" s="122">
        <v>10.02</v>
      </c>
    </row>
    <row r="8" spans="2:10" ht="16.5">
      <c r="C8" s="17"/>
      <c r="D8" s="17" t="s">
        <v>173</v>
      </c>
      <c r="E8" s="17">
        <f>SQRT(E7*E7-E6*E6)</f>
        <v>1.471960144387943E-2</v>
      </c>
    </row>
    <row r="9" spans="2:10">
      <c r="H9">
        <f>_xlfn.STDEV.S(J4:J7)</f>
        <v>2.6299556396765275E-2</v>
      </c>
    </row>
    <row r="11" spans="2:10">
      <c r="C11" t="s">
        <v>174</v>
      </c>
      <c r="D11" t="s">
        <v>175</v>
      </c>
      <c r="G11" t="s">
        <v>176</v>
      </c>
      <c r="H11">
        <f>_xlfn.STDEV.S(C12:D13)</f>
        <v>3.6968455021364721</v>
      </c>
    </row>
    <row r="12" spans="2:10">
      <c r="B12" t="s">
        <v>177</v>
      </c>
      <c r="C12">
        <v>169</v>
      </c>
      <c r="D12">
        <v>160</v>
      </c>
      <c r="E12" t="s">
        <v>178</v>
      </c>
      <c r="G12" t="s">
        <v>179</v>
      </c>
      <c r="H12">
        <f>SQRT((C15+D15)/2)</f>
        <v>2.8284271247461903</v>
      </c>
    </row>
    <row r="13" spans="2:10">
      <c r="B13" t="s">
        <v>169</v>
      </c>
      <c r="C13">
        <v>165</v>
      </c>
      <c r="D13">
        <v>164</v>
      </c>
      <c r="E13" t="s">
        <v>180</v>
      </c>
    </row>
    <row r="14" spans="2:10">
      <c r="B14" t="s">
        <v>181</v>
      </c>
      <c r="C14">
        <f>_xlfn.STDEV.S(C12:C13)</f>
        <v>2.8284271247461903</v>
      </c>
      <c r="D14">
        <f>_xlfn.STDEV.S(D12:D13)</f>
        <v>2.8284271247461903</v>
      </c>
      <c r="E14" t="s">
        <v>57</v>
      </c>
    </row>
    <row r="15" spans="2:10">
      <c r="B15" t="s">
        <v>182</v>
      </c>
      <c r="C15">
        <f>C14*C14</f>
        <v>8.0000000000000018</v>
      </c>
      <c r="D15">
        <f>D14*D14</f>
        <v>8.0000000000000018</v>
      </c>
      <c r="E15" t="s">
        <v>183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1"/>
  <sheetViews>
    <sheetView zoomScale="130" zoomScaleNormal="130" workbookViewId="0">
      <selection activeCell="I8" sqref="I8"/>
    </sheetView>
  </sheetViews>
  <sheetFormatPr defaultColWidth="9.140625" defaultRowHeight="14.45"/>
  <cols>
    <col min="1" max="5" width="9.140625" style="19"/>
    <col min="6" max="6" width="14.28515625" style="19" bestFit="1" customWidth="1"/>
    <col min="7" max="7" width="9.140625" style="19"/>
    <col min="8" max="8" width="9.5703125" style="19" bestFit="1" customWidth="1"/>
    <col min="9" max="10" width="25.28515625" bestFit="1" customWidth="1"/>
    <col min="22" max="16384" width="9.140625" style="19"/>
  </cols>
  <sheetData>
    <row r="1" spans="1:11">
      <c r="A1" s="30" t="s">
        <v>184</v>
      </c>
      <c r="B1" s="30" t="s">
        <v>165</v>
      </c>
      <c r="C1" s="30" t="s">
        <v>0</v>
      </c>
      <c r="D1" s="30" t="s">
        <v>185</v>
      </c>
      <c r="E1" s="30" t="s">
        <v>186</v>
      </c>
      <c r="J1" s="19" t="s">
        <v>187</v>
      </c>
      <c r="K1">
        <v>145.85</v>
      </c>
    </row>
    <row r="2" spans="1:11">
      <c r="A2" s="30">
        <v>1</v>
      </c>
      <c r="B2" s="30">
        <v>1</v>
      </c>
      <c r="C2" s="30">
        <v>16.27</v>
      </c>
      <c r="D2" s="30">
        <v>1</v>
      </c>
      <c r="E2" s="30" t="s">
        <v>188</v>
      </c>
      <c r="G2" s="19" t="s">
        <v>189</v>
      </c>
      <c r="I2" t="s">
        <v>190</v>
      </c>
      <c r="J2" s="19" t="s">
        <v>191</v>
      </c>
      <c r="K2">
        <v>145.55000000000001</v>
      </c>
    </row>
    <row r="3" spans="1:11">
      <c r="A3" s="30">
        <v>1</v>
      </c>
      <c r="B3" s="30">
        <v>1</v>
      </c>
      <c r="C3" s="30">
        <v>16.25</v>
      </c>
      <c r="D3" s="30">
        <v>2</v>
      </c>
      <c r="E3" s="30" t="s">
        <v>188</v>
      </c>
      <c r="I3" t="s">
        <v>192</v>
      </c>
      <c r="J3" t="s">
        <v>193</v>
      </c>
      <c r="K3" t="s">
        <v>194</v>
      </c>
    </row>
    <row r="4" spans="1:11">
      <c r="A4" s="30">
        <v>1</v>
      </c>
      <c r="B4" s="30">
        <v>2</v>
      </c>
      <c r="C4" s="30">
        <v>16.23</v>
      </c>
      <c r="D4" s="30">
        <v>1</v>
      </c>
      <c r="E4" s="30" t="s">
        <v>188</v>
      </c>
      <c r="I4" s="1">
        <v>145.56</v>
      </c>
      <c r="J4" s="1">
        <v>145.33000000000001</v>
      </c>
    </row>
    <row r="5" spans="1:11">
      <c r="A5" s="30">
        <v>1</v>
      </c>
      <c r="B5" s="30">
        <v>2</v>
      </c>
      <c r="C5" s="30">
        <v>16.23</v>
      </c>
      <c r="D5" s="30">
        <v>2</v>
      </c>
      <c r="E5" s="30" t="s">
        <v>188</v>
      </c>
      <c r="I5" s="1">
        <v>145.58000000000001</v>
      </c>
      <c r="J5" s="1">
        <v>145.81</v>
      </c>
    </row>
    <row r="6" spans="1:11">
      <c r="A6" s="30">
        <v>1</v>
      </c>
      <c r="B6" s="30">
        <v>3</v>
      </c>
      <c r="C6" s="30">
        <v>16.21</v>
      </c>
      <c r="D6" s="30">
        <v>1</v>
      </c>
      <c r="E6" s="30" t="s">
        <v>188</v>
      </c>
      <c r="I6" s="1">
        <v>145.57</v>
      </c>
      <c r="J6" s="1">
        <v>145.36000000000001</v>
      </c>
    </row>
    <row r="7" spans="1:11">
      <c r="A7" s="30">
        <v>1</v>
      </c>
      <c r="B7" s="30">
        <v>3</v>
      </c>
      <c r="C7" s="30">
        <v>16.23</v>
      </c>
      <c r="D7" s="30">
        <v>2</v>
      </c>
      <c r="E7" s="30" t="s">
        <v>188</v>
      </c>
      <c r="J7" s="1">
        <v>145.51</v>
      </c>
    </row>
    <row r="8" spans="1:11">
      <c r="A8" s="30">
        <v>2</v>
      </c>
      <c r="B8" s="30">
        <v>1</v>
      </c>
      <c r="C8" s="30">
        <v>16.96</v>
      </c>
      <c r="D8" s="30">
        <v>1</v>
      </c>
      <c r="E8" s="30" t="s">
        <v>188</v>
      </c>
      <c r="I8" s="130">
        <f>_xlfn.STDEV.S(I4:I6)</f>
        <v>1.0000000000005116E-2</v>
      </c>
      <c r="J8" s="130">
        <f>_xlfn.STDEV.S(J4:J7)</f>
        <v>0.21960191255997222</v>
      </c>
      <c r="K8" s="130">
        <f>SQRT(J8*J8-I8*I8)</f>
        <v>0.21937410968479756</v>
      </c>
    </row>
    <row r="9" spans="1:11">
      <c r="A9" s="30">
        <v>2</v>
      </c>
      <c r="B9" s="30">
        <v>1</v>
      </c>
      <c r="C9" s="30">
        <v>16.95</v>
      </c>
      <c r="D9" s="30">
        <v>2</v>
      </c>
      <c r="E9" s="30" t="s">
        <v>188</v>
      </c>
    </row>
    <row r="10" spans="1:11">
      <c r="A10" s="30">
        <v>2</v>
      </c>
      <c r="B10" s="30">
        <v>2</v>
      </c>
      <c r="C10" s="30">
        <v>17.02</v>
      </c>
      <c r="D10" s="30">
        <v>1</v>
      </c>
      <c r="E10" s="30" t="s">
        <v>188</v>
      </c>
      <c r="I10" t="s">
        <v>195</v>
      </c>
      <c r="J10" s="129">
        <f>I8/J8</f>
        <v>4.5536944024903082E-2</v>
      </c>
    </row>
    <row r="11" spans="1:11">
      <c r="A11" s="30">
        <v>2</v>
      </c>
      <c r="B11" s="30">
        <v>2</v>
      </c>
      <c r="C11" s="30">
        <v>17.05</v>
      </c>
      <c r="D11" s="30">
        <v>2</v>
      </c>
      <c r="E11" s="30" t="s">
        <v>196</v>
      </c>
      <c r="I11" t="s">
        <v>197</v>
      </c>
      <c r="J11" s="129">
        <f>6*I8/(K1-K2)</f>
        <v>0.2000000000001137</v>
      </c>
    </row>
    <row r="12" spans="1:11">
      <c r="A12" s="30">
        <v>2</v>
      </c>
      <c r="B12" s="30">
        <v>3</v>
      </c>
      <c r="C12" s="30">
        <v>17.010000000000002</v>
      </c>
      <c r="D12" s="30">
        <v>1</v>
      </c>
      <c r="E12" s="30" t="s">
        <v>198</v>
      </c>
    </row>
    <row r="13" spans="1:11">
      <c r="A13" s="30">
        <v>2</v>
      </c>
      <c r="B13" s="30">
        <v>3</v>
      </c>
      <c r="C13" s="30">
        <v>16.97</v>
      </c>
      <c r="D13" s="30">
        <v>2</v>
      </c>
      <c r="E13" s="30" t="s">
        <v>188</v>
      </c>
      <c r="J13">
        <f>SQRT(2)</f>
        <v>1.4142135623730951</v>
      </c>
    </row>
    <row r="14" spans="1:11">
      <c r="A14" s="30">
        <v>3</v>
      </c>
      <c r="B14" s="30">
        <v>1</v>
      </c>
      <c r="C14" s="30">
        <v>16.64</v>
      </c>
      <c r="D14" s="30">
        <v>1</v>
      </c>
      <c r="E14" s="30" t="s">
        <v>188</v>
      </c>
      <c r="I14" t="s">
        <v>199</v>
      </c>
      <c r="J14">
        <f>J13*K8/I8</f>
        <v>31.024184114960494</v>
      </c>
    </row>
    <row r="15" spans="1:11">
      <c r="A15" s="30">
        <v>3</v>
      </c>
      <c r="B15" s="30">
        <v>1</v>
      </c>
      <c r="C15" s="30">
        <v>16.62</v>
      </c>
      <c r="D15" s="30">
        <v>2</v>
      </c>
      <c r="E15" s="30" t="s">
        <v>188</v>
      </c>
    </row>
    <row r="16" spans="1:11">
      <c r="A16" s="30">
        <v>3</v>
      </c>
      <c r="B16" s="30">
        <v>2</v>
      </c>
      <c r="C16" s="30">
        <v>16.62</v>
      </c>
      <c r="D16" s="30">
        <v>1</v>
      </c>
      <c r="E16" s="30" t="s">
        <v>188</v>
      </c>
    </row>
    <row r="17" spans="1:5">
      <c r="A17" s="30">
        <v>3</v>
      </c>
      <c r="B17" s="30">
        <v>2</v>
      </c>
      <c r="C17" s="30">
        <v>16.59</v>
      </c>
      <c r="D17" s="30">
        <v>2</v>
      </c>
      <c r="E17" s="30" t="s">
        <v>188</v>
      </c>
    </row>
    <row r="18" spans="1:5">
      <c r="A18" s="30">
        <v>3</v>
      </c>
      <c r="B18" s="30">
        <v>3</v>
      </c>
      <c r="C18" s="30">
        <v>16.62</v>
      </c>
      <c r="D18" s="30">
        <v>1</v>
      </c>
      <c r="E18" s="30" t="s">
        <v>188</v>
      </c>
    </row>
    <row r="19" spans="1:5">
      <c r="A19" s="30">
        <v>3</v>
      </c>
      <c r="B19" s="30">
        <v>3</v>
      </c>
      <c r="C19" s="30">
        <v>16.62</v>
      </c>
      <c r="D19" s="30">
        <v>2</v>
      </c>
      <c r="E19" s="30" t="s">
        <v>188</v>
      </c>
    </row>
    <row r="20" spans="1:5">
      <c r="A20" s="30">
        <v>4</v>
      </c>
      <c r="B20" s="30">
        <v>1</v>
      </c>
      <c r="C20" s="30">
        <v>16.82</v>
      </c>
      <c r="D20" s="30">
        <v>1</v>
      </c>
      <c r="E20" s="30" t="s">
        <v>188</v>
      </c>
    </row>
    <row r="21" spans="1:5">
      <c r="A21" s="30">
        <v>4</v>
      </c>
      <c r="B21" s="30">
        <v>1</v>
      </c>
      <c r="C21" s="30">
        <v>16.850000000000001</v>
      </c>
      <c r="D21" s="30">
        <v>2</v>
      </c>
      <c r="E21" s="30" t="s">
        <v>188</v>
      </c>
    </row>
    <row r="22" spans="1:5">
      <c r="A22" s="30">
        <v>4</v>
      </c>
      <c r="B22" s="30">
        <v>2</v>
      </c>
      <c r="C22" s="30">
        <v>16.84</v>
      </c>
      <c r="D22" s="30">
        <v>1</v>
      </c>
      <c r="E22" s="30" t="s">
        <v>188</v>
      </c>
    </row>
    <row r="23" spans="1:5">
      <c r="A23" s="30">
        <v>4</v>
      </c>
      <c r="B23" s="30">
        <v>2</v>
      </c>
      <c r="C23" s="30">
        <v>16.850000000000001</v>
      </c>
      <c r="D23" s="30">
        <v>2</v>
      </c>
      <c r="E23" s="30" t="s">
        <v>188</v>
      </c>
    </row>
    <row r="24" spans="1:5">
      <c r="A24" s="30">
        <v>4</v>
      </c>
      <c r="B24" s="30">
        <v>3</v>
      </c>
      <c r="C24" s="30">
        <v>16.79</v>
      </c>
      <c r="D24" s="30">
        <v>1</v>
      </c>
      <c r="E24" s="30" t="s">
        <v>188</v>
      </c>
    </row>
    <row r="25" spans="1:5">
      <c r="A25" s="30">
        <v>4</v>
      </c>
      <c r="B25" s="30">
        <v>3</v>
      </c>
      <c r="C25" s="30">
        <v>16.809999999999999</v>
      </c>
      <c r="D25" s="30">
        <v>2</v>
      </c>
      <c r="E25" s="30" t="s">
        <v>188</v>
      </c>
    </row>
    <row r="26" spans="1:5">
      <c r="A26" s="30">
        <v>5</v>
      </c>
      <c r="B26" s="30">
        <v>1</v>
      </c>
      <c r="C26" s="30">
        <v>16.149999999999999</v>
      </c>
      <c r="D26" s="30">
        <v>1</v>
      </c>
      <c r="E26" s="30" t="s">
        <v>188</v>
      </c>
    </row>
    <row r="27" spans="1:5">
      <c r="A27" s="30">
        <v>5</v>
      </c>
      <c r="B27" s="30">
        <v>1</v>
      </c>
      <c r="C27" s="30">
        <v>16.13</v>
      </c>
      <c r="D27" s="30">
        <v>2</v>
      </c>
      <c r="E27" s="30" t="s">
        <v>188</v>
      </c>
    </row>
    <row r="28" spans="1:5">
      <c r="A28" s="30">
        <v>5</v>
      </c>
      <c r="B28" s="30">
        <v>2</v>
      </c>
      <c r="C28" s="30">
        <v>16.100000000000001</v>
      </c>
      <c r="D28" s="30">
        <v>1</v>
      </c>
      <c r="E28" s="30" t="s">
        <v>188</v>
      </c>
    </row>
    <row r="29" spans="1:5">
      <c r="A29" s="30">
        <v>5</v>
      </c>
      <c r="B29" s="30">
        <v>2</v>
      </c>
      <c r="C29" s="30">
        <v>16.12</v>
      </c>
      <c r="D29" s="30">
        <v>2</v>
      </c>
      <c r="E29" s="30" t="s">
        <v>188</v>
      </c>
    </row>
    <row r="30" spans="1:5">
      <c r="A30" s="30">
        <v>5</v>
      </c>
      <c r="B30" s="30">
        <v>3</v>
      </c>
      <c r="C30" s="30">
        <v>16.11</v>
      </c>
      <c r="D30" s="30">
        <v>1</v>
      </c>
      <c r="E30" s="30" t="s">
        <v>198</v>
      </c>
    </row>
    <row r="31" spans="1:5">
      <c r="A31" s="30">
        <v>5</v>
      </c>
      <c r="B31" s="30">
        <v>3</v>
      </c>
      <c r="C31" s="30">
        <v>16.149999999999999</v>
      </c>
      <c r="D31" s="30">
        <v>2</v>
      </c>
      <c r="E31" s="30" t="s">
        <v>188</v>
      </c>
    </row>
    <row r="32" spans="1:5">
      <c r="A32" s="30">
        <v>6</v>
      </c>
      <c r="B32" s="30">
        <v>1</v>
      </c>
      <c r="C32" s="30">
        <v>16.940000000000001</v>
      </c>
      <c r="D32" s="30">
        <v>1</v>
      </c>
      <c r="E32" s="30" t="s">
        <v>188</v>
      </c>
    </row>
    <row r="33" spans="1:5">
      <c r="A33" s="30">
        <v>6</v>
      </c>
      <c r="B33" s="30">
        <v>1</v>
      </c>
      <c r="C33" s="30">
        <v>16.940000000000001</v>
      </c>
      <c r="D33" s="30">
        <v>2</v>
      </c>
      <c r="E33" s="30" t="s">
        <v>188</v>
      </c>
    </row>
    <row r="34" spans="1:5">
      <c r="A34" s="30">
        <v>6</v>
      </c>
      <c r="B34" s="30">
        <v>2</v>
      </c>
      <c r="C34" s="30">
        <v>16.97</v>
      </c>
      <c r="D34" s="30">
        <v>1</v>
      </c>
      <c r="E34" s="30" t="s">
        <v>188</v>
      </c>
    </row>
    <row r="35" spans="1:5">
      <c r="A35" s="30">
        <v>6</v>
      </c>
      <c r="B35" s="30">
        <v>2</v>
      </c>
      <c r="C35" s="30">
        <v>16.989999999999998</v>
      </c>
      <c r="D35" s="30">
        <v>2</v>
      </c>
      <c r="E35" s="30" t="s">
        <v>188</v>
      </c>
    </row>
    <row r="36" spans="1:5">
      <c r="A36" s="30">
        <v>6</v>
      </c>
      <c r="B36" s="30">
        <v>3</v>
      </c>
      <c r="C36" s="30">
        <v>16.95</v>
      </c>
      <c r="D36" s="30">
        <v>1</v>
      </c>
      <c r="E36" s="30" t="s">
        <v>188</v>
      </c>
    </row>
    <row r="37" spans="1:5">
      <c r="A37" s="30">
        <v>6</v>
      </c>
      <c r="B37" s="30">
        <v>3</v>
      </c>
      <c r="C37" s="30">
        <v>16.989999999999998</v>
      </c>
      <c r="D37" s="30">
        <v>2</v>
      </c>
      <c r="E37" s="30" t="s">
        <v>198</v>
      </c>
    </row>
    <row r="38" spans="1:5">
      <c r="A38" s="30">
        <v>7</v>
      </c>
      <c r="B38" s="30">
        <v>1</v>
      </c>
      <c r="C38" s="30">
        <v>16.850000000000001</v>
      </c>
      <c r="D38" s="30">
        <v>1</v>
      </c>
      <c r="E38" s="30" t="s">
        <v>188</v>
      </c>
    </row>
    <row r="39" spans="1:5">
      <c r="A39" s="30">
        <v>7</v>
      </c>
      <c r="B39" s="30">
        <v>1</v>
      </c>
      <c r="C39" s="30">
        <v>16.84</v>
      </c>
      <c r="D39" s="30">
        <v>2</v>
      </c>
      <c r="E39" s="30" t="s">
        <v>188</v>
      </c>
    </row>
    <row r="40" spans="1:5">
      <c r="A40" s="30">
        <v>7</v>
      </c>
      <c r="B40" s="30">
        <v>2</v>
      </c>
      <c r="C40" s="30">
        <v>16.809999999999999</v>
      </c>
      <c r="D40" s="30">
        <v>1</v>
      </c>
      <c r="E40" s="30" t="s">
        <v>188</v>
      </c>
    </row>
    <row r="41" spans="1:5">
      <c r="A41" s="30">
        <v>7</v>
      </c>
      <c r="B41" s="30">
        <v>2</v>
      </c>
      <c r="C41" s="30">
        <v>16.829999999999998</v>
      </c>
      <c r="D41" s="30">
        <v>2</v>
      </c>
      <c r="E41" s="30" t="s">
        <v>188</v>
      </c>
    </row>
    <row r="42" spans="1:5">
      <c r="A42" s="30">
        <v>7</v>
      </c>
      <c r="B42" s="30">
        <v>3</v>
      </c>
      <c r="C42" s="30">
        <v>16.84</v>
      </c>
      <c r="D42" s="30">
        <v>1</v>
      </c>
      <c r="E42" s="30" t="s">
        <v>188</v>
      </c>
    </row>
    <row r="43" spans="1:5">
      <c r="A43" s="30">
        <v>7</v>
      </c>
      <c r="B43" s="30">
        <v>3</v>
      </c>
      <c r="C43" s="30">
        <v>16.84</v>
      </c>
      <c r="D43" s="30">
        <v>2</v>
      </c>
      <c r="E43" s="30" t="s">
        <v>188</v>
      </c>
    </row>
    <row r="44" spans="1:5">
      <c r="A44" s="30">
        <v>8</v>
      </c>
      <c r="B44" s="30">
        <v>1</v>
      </c>
      <c r="C44" s="30">
        <v>16.64</v>
      </c>
      <c r="D44" s="30">
        <v>1</v>
      </c>
      <c r="E44" s="30" t="s">
        <v>188</v>
      </c>
    </row>
    <row r="45" spans="1:5">
      <c r="A45" s="30">
        <v>8</v>
      </c>
      <c r="B45" s="30">
        <v>1</v>
      </c>
      <c r="C45" s="30">
        <v>16.62</v>
      </c>
      <c r="D45" s="30">
        <v>2</v>
      </c>
      <c r="E45" s="30" t="s">
        <v>188</v>
      </c>
    </row>
    <row r="46" spans="1:5">
      <c r="A46" s="30">
        <v>8</v>
      </c>
      <c r="B46" s="30">
        <v>2</v>
      </c>
      <c r="C46" s="30">
        <v>16.59</v>
      </c>
      <c r="D46" s="30">
        <v>1</v>
      </c>
      <c r="E46" s="30" t="s">
        <v>188</v>
      </c>
    </row>
    <row r="47" spans="1:5">
      <c r="A47" s="30">
        <v>8</v>
      </c>
      <c r="B47" s="30">
        <v>2</v>
      </c>
      <c r="C47" s="30">
        <v>16.600000000000001</v>
      </c>
      <c r="D47" s="30">
        <v>2</v>
      </c>
      <c r="E47" s="30" t="s">
        <v>188</v>
      </c>
    </row>
    <row r="48" spans="1:5">
      <c r="A48" s="30">
        <v>8</v>
      </c>
      <c r="B48" s="30">
        <v>3</v>
      </c>
      <c r="C48" s="30">
        <v>16.62</v>
      </c>
      <c r="D48" s="30">
        <v>1</v>
      </c>
      <c r="E48" s="30" t="s">
        <v>188</v>
      </c>
    </row>
    <row r="49" spans="1:5">
      <c r="A49" s="30">
        <v>8</v>
      </c>
      <c r="B49" s="30">
        <v>3</v>
      </c>
      <c r="C49" s="30">
        <v>16.61</v>
      </c>
      <c r="D49" s="30">
        <v>2</v>
      </c>
      <c r="E49" s="30" t="s">
        <v>188</v>
      </c>
    </row>
    <row r="50" spans="1:5">
      <c r="A50" s="30">
        <v>9</v>
      </c>
      <c r="B50" s="30">
        <v>1</v>
      </c>
      <c r="C50" s="30">
        <v>16.920000000000002</v>
      </c>
      <c r="D50" s="30">
        <v>1</v>
      </c>
      <c r="E50" s="30" t="s">
        <v>188</v>
      </c>
    </row>
    <row r="51" spans="1:5">
      <c r="A51" s="30">
        <v>9</v>
      </c>
      <c r="B51" s="30">
        <v>1</v>
      </c>
      <c r="C51" s="30">
        <v>16.920000000000002</v>
      </c>
      <c r="D51" s="30">
        <v>2</v>
      </c>
      <c r="E51" s="30" t="s">
        <v>188</v>
      </c>
    </row>
    <row r="52" spans="1:5">
      <c r="A52" s="30">
        <v>9</v>
      </c>
      <c r="B52" s="30">
        <v>2</v>
      </c>
      <c r="C52" s="30">
        <v>16.920000000000002</v>
      </c>
      <c r="D52" s="30">
        <v>1</v>
      </c>
      <c r="E52" s="30" t="s">
        <v>196</v>
      </c>
    </row>
    <row r="53" spans="1:5">
      <c r="A53" s="30">
        <v>9</v>
      </c>
      <c r="B53" s="30">
        <v>2</v>
      </c>
      <c r="C53" s="30">
        <v>16.940000000000001</v>
      </c>
      <c r="D53" s="30">
        <v>2</v>
      </c>
      <c r="E53" s="30" t="s">
        <v>188</v>
      </c>
    </row>
    <row r="54" spans="1:5">
      <c r="A54" s="30">
        <v>9</v>
      </c>
      <c r="B54" s="30">
        <v>3</v>
      </c>
      <c r="C54" s="30">
        <v>16.93</v>
      </c>
      <c r="D54" s="30">
        <v>1</v>
      </c>
      <c r="E54" s="30" t="s">
        <v>188</v>
      </c>
    </row>
    <row r="55" spans="1:5">
      <c r="A55" s="30">
        <v>9</v>
      </c>
      <c r="B55" s="30">
        <v>3</v>
      </c>
      <c r="C55" s="30">
        <v>16.93</v>
      </c>
      <c r="D55" s="30">
        <v>2</v>
      </c>
      <c r="E55" s="30" t="s">
        <v>188</v>
      </c>
    </row>
    <row r="56" spans="1:5">
      <c r="A56" s="30">
        <v>10</v>
      </c>
      <c r="B56" s="30">
        <v>1</v>
      </c>
      <c r="C56" s="30">
        <v>16.309999999999999</v>
      </c>
      <c r="D56" s="30">
        <v>1</v>
      </c>
      <c r="E56" s="30" t="s">
        <v>188</v>
      </c>
    </row>
    <row r="57" spans="1:5">
      <c r="A57" s="30">
        <v>10</v>
      </c>
      <c r="B57" s="30">
        <v>1</v>
      </c>
      <c r="C57" s="30">
        <v>16.32</v>
      </c>
      <c r="D57" s="30">
        <v>2</v>
      </c>
      <c r="E57" s="30" t="s">
        <v>188</v>
      </c>
    </row>
    <row r="58" spans="1:5">
      <c r="A58" s="30">
        <v>10</v>
      </c>
      <c r="B58" s="30">
        <v>2</v>
      </c>
      <c r="C58" s="30">
        <v>16.3</v>
      </c>
      <c r="D58" s="30">
        <v>1</v>
      </c>
      <c r="E58" s="30" t="s">
        <v>196</v>
      </c>
    </row>
    <row r="59" spans="1:5">
      <c r="A59" s="30">
        <v>10</v>
      </c>
      <c r="B59" s="30">
        <v>2</v>
      </c>
      <c r="C59" s="30">
        <v>16.29</v>
      </c>
      <c r="D59" s="30">
        <v>2</v>
      </c>
      <c r="E59" s="30" t="s">
        <v>188</v>
      </c>
    </row>
    <row r="60" spans="1:5">
      <c r="A60" s="30">
        <v>10</v>
      </c>
      <c r="B60" s="30">
        <v>3</v>
      </c>
      <c r="C60" s="30">
        <v>16.32</v>
      </c>
      <c r="D60" s="30">
        <v>1</v>
      </c>
      <c r="E60" s="30" t="s">
        <v>188</v>
      </c>
    </row>
    <row r="61" spans="1:5">
      <c r="A61" s="30">
        <v>10</v>
      </c>
      <c r="B61" s="30">
        <v>3</v>
      </c>
      <c r="C61" s="30">
        <v>16.32</v>
      </c>
      <c r="D61" s="30">
        <v>2</v>
      </c>
      <c r="E61" s="30" t="s">
        <v>188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1"/>
  <sheetViews>
    <sheetView topLeftCell="A4" workbookViewId="0">
      <selection activeCell="G10" sqref="G10"/>
    </sheetView>
  </sheetViews>
  <sheetFormatPr defaultRowHeight="14.45"/>
  <cols>
    <col min="4" max="4" width="27.140625" customWidth="1"/>
  </cols>
  <sheetData>
    <row r="1" spans="1:9">
      <c r="A1" s="87" t="s">
        <v>165</v>
      </c>
      <c r="B1" s="88" t="s">
        <v>0</v>
      </c>
      <c r="F1" s="149" t="s">
        <v>184</v>
      </c>
      <c r="G1" s="149" t="s">
        <v>200</v>
      </c>
      <c r="H1" s="149" t="s">
        <v>201</v>
      </c>
      <c r="I1" s="149" t="s">
        <v>202</v>
      </c>
    </row>
    <row r="2" spans="1:9" ht="15.6">
      <c r="A2" s="150" t="s">
        <v>203</v>
      </c>
      <c r="B2" s="151">
        <v>5.968</v>
      </c>
      <c r="D2" s="89" t="s">
        <v>204</v>
      </c>
      <c r="F2" s="90">
        <v>1</v>
      </c>
      <c r="G2" s="90">
        <v>6.0709999999999997</v>
      </c>
      <c r="H2" s="90">
        <v>6.0709999999999997</v>
      </c>
      <c r="I2" s="90">
        <v>6.0709999999999997</v>
      </c>
    </row>
    <row r="3" spans="1:9" ht="15.6">
      <c r="A3" s="150" t="s">
        <v>203</v>
      </c>
      <c r="B3" s="151">
        <v>5.9710000000000001</v>
      </c>
      <c r="D3" s="152" t="s">
        <v>205</v>
      </c>
      <c r="F3" s="90">
        <v>1</v>
      </c>
      <c r="G3" s="90">
        <v>6.0720000000000001</v>
      </c>
      <c r="H3" s="90">
        <v>6.0720000000000001</v>
      </c>
      <c r="I3" s="90">
        <v>6.0709999999999997</v>
      </c>
    </row>
    <row r="4" spans="1:9" ht="15.6">
      <c r="A4" s="150" t="s">
        <v>203</v>
      </c>
      <c r="B4" s="151">
        <v>5.9669999999999996</v>
      </c>
      <c r="D4" s="153" t="s">
        <v>206</v>
      </c>
      <c r="F4" s="90">
        <v>2</v>
      </c>
      <c r="G4" s="90">
        <v>6.0819999999999999</v>
      </c>
      <c r="H4" s="90">
        <v>6.0819999999999999</v>
      </c>
      <c r="I4" s="90">
        <v>6.0810000000000004</v>
      </c>
    </row>
    <row r="5" spans="1:9" ht="15.6">
      <c r="A5" s="150" t="s">
        <v>203</v>
      </c>
      <c r="B5" s="151">
        <v>5.9690000000000003</v>
      </c>
      <c r="F5" s="90">
        <v>2</v>
      </c>
      <c r="G5" s="90">
        <v>6.0810000000000004</v>
      </c>
      <c r="H5" s="90">
        <v>6.0810000000000004</v>
      </c>
      <c r="I5" s="90">
        <v>6.0819999999999999</v>
      </c>
    </row>
    <row r="6" spans="1:9" ht="15.6">
      <c r="A6" s="150" t="s">
        <v>203</v>
      </c>
      <c r="B6" s="151">
        <v>5.9710000000000001</v>
      </c>
      <c r="F6" s="90">
        <v>3</v>
      </c>
      <c r="G6" s="90">
        <v>6.0940000000000003</v>
      </c>
      <c r="H6" s="90">
        <v>6.0949999999999998</v>
      </c>
      <c r="I6" s="90">
        <v>6.0949999999999998</v>
      </c>
    </row>
    <row r="7" spans="1:9" ht="15.6">
      <c r="A7" s="150" t="s">
        <v>203</v>
      </c>
      <c r="B7" s="151">
        <v>5.9720000000000004</v>
      </c>
      <c r="F7" s="90">
        <v>3</v>
      </c>
      <c r="G7" s="90">
        <v>6.0949999999999998</v>
      </c>
      <c r="H7" s="90">
        <v>6.0949999999999998</v>
      </c>
      <c r="I7" s="90">
        <v>6.0960000000000001</v>
      </c>
    </row>
    <row r="8" spans="1:9" ht="15.6">
      <c r="A8" s="150" t="s">
        <v>203</v>
      </c>
      <c r="B8" s="151">
        <v>5.9690000000000003</v>
      </c>
      <c r="F8" s="90">
        <v>4</v>
      </c>
      <c r="G8" s="90">
        <v>6.0430000000000001</v>
      </c>
      <c r="H8" s="90">
        <v>6.0449999999999999</v>
      </c>
      <c r="I8" s="90">
        <v>6.0460000000000003</v>
      </c>
    </row>
    <row r="9" spans="1:9" ht="15.6">
      <c r="A9" s="150" t="s">
        <v>203</v>
      </c>
      <c r="B9" s="151">
        <v>5.9710000000000001</v>
      </c>
      <c r="F9" s="90">
        <v>4</v>
      </c>
      <c r="G9" s="90">
        <v>6.0439999999999996</v>
      </c>
      <c r="H9" s="90">
        <v>6.0439999999999996</v>
      </c>
      <c r="I9" s="90">
        <v>6.0449999999999999</v>
      </c>
    </row>
    <row r="10" spans="1:9" ht="15.6">
      <c r="A10" s="150" t="s">
        <v>203</v>
      </c>
      <c r="B10" s="151">
        <v>5.968</v>
      </c>
      <c r="F10" s="90">
        <v>5</v>
      </c>
      <c r="G10" s="90">
        <v>6.101</v>
      </c>
      <c r="H10" s="90">
        <v>6.1059999999999999</v>
      </c>
      <c r="I10" s="90">
        <v>6.1050000000000004</v>
      </c>
    </row>
    <row r="11" spans="1:9" ht="15.6">
      <c r="A11" s="150" t="s">
        <v>203</v>
      </c>
      <c r="B11" s="151">
        <v>5.97</v>
      </c>
      <c r="F11" s="90">
        <v>5</v>
      </c>
      <c r="G11" s="90">
        <v>6.1050000000000004</v>
      </c>
      <c r="H11" s="90">
        <v>6.1059999999999999</v>
      </c>
      <c r="I11" s="90">
        <v>6.1050000000000004</v>
      </c>
    </row>
    <row r="12" spans="1:9" ht="15.6">
      <c r="A12" s="150" t="s">
        <v>203</v>
      </c>
      <c r="B12" s="151">
        <v>5.9710000000000001</v>
      </c>
      <c r="F12" s="90">
        <v>6</v>
      </c>
      <c r="G12" s="90">
        <v>6.0350000000000001</v>
      </c>
      <c r="H12" s="90">
        <v>6.0350000000000001</v>
      </c>
      <c r="I12" s="90">
        <v>6.0339999999999998</v>
      </c>
    </row>
    <row r="13" spans="1:9" ht="15.6">
      <c r="A13" s="150" t="s">
        <v>203</v>
      </c>
      <c r="B13" s="151">
        <v>5.97</v>
      </c>
      <c r="F13" s="90">
        <v>6</v>
      </c>
      <c r="G13" s="90">
        <v>6.0339999999999998</v>
      </c>
      <c r="H13" s="90">
        <v>6.0350000000000001</v>
      </c>
      <c r="I13" s="90">
        <v>6.0339999999999998</v>
      </c>
    </row>
    <row r="14" spans="1:9" ht="15.6">
      <c r="A14" s="150" t="s">
        <v>203</v>
      </c>
      <c r="B14" s="151">
        <v>5.97</v>
      </c>
      <c r="F14" s="90">
        <v>7</v>
      </c>
      <c r="G14" s="90">
        <v>6.0460000000000003</v>
      </c>
      <c r="H14" s="90">
        <v>6.0449999999999999</v>
      </c>
      <c r="I14" s="90">
        <v>6.0460000000000003</v>
      </c>
    </row>
    <row r="15" spans="1:9" ht="15.6">
      <c r="A15" s="150" t="s">
        <v>203</v>
      </c>
      <c r="B15" s="151">
        <v>5.9690000000000003</v>
      </c>
      <c r="F15" s="90">
        <v>7</v>
      </c>
      <c r="G15" s="90">
        <v>6.0460000000000003</v>
      </c>
      <c r="H15" s="90">
        <v>6.0449999999999999</v>
      </c>
      <c r="I15" s="90">
        <v>6.0460000000000003</v>
      </c>
    </row>
    <row r="16" spans="1:9" ht="15.6">
      <c r="A16" s="150" t="s">
        <v>203</v>
      </c>
      <c r="B16" s="151">
        <v>5.9669999999999996</v>
      </c>
      <c r="F16" s="90">
        <v>8</v>
      </c>
      <c r="G16" s="90">
        <v>6.101</v>
      </c>
      <c r="H16" s="90">
        <v>6.1</v>
      </c>
      <c r="I16" s="90">
        <v>6.101</v>
      </c>
    </row>
    <row r="17" spans="1:9" ht="15.6">
      <c r="A17" s="150" t="s">
        <v>203</v>
      </c>
      <c r="B17" s="151">
        <v>5.97</v>
      </c>
      <c r="F17" s="90">
        <v>8</v>
      </c>
      <c r="G17" s="90">
        <v>6.101</v>
      </c>
      <c r="H17" s="90">
        <v>6.101</v>
      </c>
      <c r="I17" s="90">
        <v>6.101</v>
      </c>
    </row>
    <row r="18" spans="1:9" ht="15.6">
      <c r="A18" s="150" t="s">
        <v>203</v>
      </c>
      <c r="B18" s="151">
        <v>5.9720000000000004</v>
      </c>
      <c r="F18" s="90">
        <v>9</v>
      </c>
      <c r="G18" s="90">
        <v>6.0439999999999996</v>
      </c>
      <c r="H18" s="90">
        <v>6.0439999999999996</v>
      </c>
      <c r="I18" s="90">
        <v>6.0439999999999996</v>
      </c>
    </row>
    <row r="19" spans="1:9" ht="15.6">
      <c r="A19" s="150" t="s">
        <v>203</v>
      </c>
      <c r="B19" s="151">
        <v>5.9710000000000001</v>
      </c>
      <c r="F19" s="90">
        <v>9</v>
      </c>
      <c r="G19" s="90">
        <v>6.0449999999999999</v>
      </c>
      <c r="H19" s="90">
        <v>6.0449999999999999</v>
      </c>
      <c r="I19" s="90">
        <v>6.0449999999999999</v>
      </c>
    </row>
    <row r="20" spans="1:9" ht="15.6">
      <c r="A20" s="150" t="s">
        <v>203</v>
      </c>
      <c r="B20" s="151">
        <v>5.9690000000000003</v>
      </c>
      <c r="F20" s="90">
        <v>10</v>
      </c>
      <c r="G20" s="90">
        <v>6.0839999999999996</v>
      </c>
      <c r="H20" s="90">
        <v>6.085</v>
      </c>
      <c r="I20" s="90">
        <v>6.0830000000000002</v>
      </c>
    </row>
    <row r="21" spans="1:9" ht="15.6">
      <c r="A21" s="150" t="s">
        <v>203</v>
      </c>
      <c r="B21" s="151">
        <v>5.97</v>
      </c>
      <c r="F21" s="90">
        <v>10</v>
      </c>
      <c r="G21" s="90">
        <v>6.0830000000000002</v>
      </c>
      <c r="H21" s="90">
        <v>6.0839999999999996</v>
      </c>
      <c r="I21" s="90">
        <v>6.0830000000000002</v>
      </c>
    </row>
    <row r="22" spans="1:9">
      <c r="A22" s="150" t="s">
        <v>203</v>
      </c>
      <c r="B22" s="151">
        <v>5.968</v>
      </c>
    </row>
    <row r="23" spans="1:9">
      <c r="A23" s="150" t="s">
        <v>203</v>
      </c>
      <c r="B23" s="151">
        <v>5.9710000000000001</v>
      </c>
    </row>
    <row r="24" spans="1:9">
      <c r="A24" s="150" t="s">
        <v>203</v>
      </c>
      <c r="B24" s="151">
        <v>5.9720000000000004</v>
      </c>
    </row>
    <row r="25" spans="1:9">
      <c r="A25" s="150" t="s">
        <v>203</v>
      </c>
      <c r="B25" s="151">
        <v>5.97</v>
      </c>
    </row>
    <row r="26" spans="1:9">
      <c r="A26" s="150" t="s">
        <v>203</v>
      </c>
      <c r="B26" s="151">
        <v>5.9720000000000004</v>
      </c>
    </row>
    <row r="27" spans="1:9">
      <c r="A27" s="150" t="s">
        <v>203</v>
      </c>
      <c r="B27" s="151">
        <v>5.9710000000000001</v>
      </c>
    </row>
    <row r="28" spans="1:9">
      <c r="A28" s="150" t="s">
        <v>203</v>
      </c>
      <c r="B28" s="151">
        <v>5.968</v>
      </c>
    </row>
    <row r="29" spans="1:9">
      <c r="A29" s="150" t="s">
        <v>203</v>
      </c>
      <c r="B29" s="151">
        <v>5.97</v>
      </c>
    </row>
    <row r="30" spans="1:9">
      <c r="A30" s="150" t="s">
        <v>203</v>
      </c>
      <c r="B30" s="151">
        <v>5.9710000000000001</v>
      </c>
    </row>
    <row r="31" spans="1:9">
      <c r="A31" s="150" t="s">
        <v>203</v>
      </c>
      <c r="B31" s="151">
        <v>5.97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75"/>
  <sheetViews>
    <sheetView workbookViewId="0">
      <selection activeCell="M4" sqref="L2:N62"/>
    </sheetView>
  </sheetViews>
  <sheetFormatPr defaultRowHeight="14.45"/>
  <cols>
    <col min="1" max="1" width="6" style="19" customWidth="1"/>
    <col min="2" max="2" width="14.28515625" style="19" customWidth="1"/>
    <col min="3" max="7" width="9.140625" style="19"/>
    <col min="8" max="8" width="12" style="19" customWidth="1"/>
    <col min="9" max="13" width="9.140625" style="19"/>
    <col min="14" max="14" width="10.85546875" style="19" bestFit="1" customWidth="1"/>
    <col min="15" max="256" width="9.140625" style="19"/>
    <col min="257" max="257" width="6" style="19" customWidth="1"/>
    <col min="258" max="258" width="14.28515625" style="19" customWidth="1"/>
    <col min="259" max="263" width="9.140625" style="19"/>
    <col min="264" max="264" width="12" style="19" customWidth="1"/>
    <col min="265" max="269" width="9.140625" style="19"/>
    <col min="270" max="270" width="10.85546875" style="19" bestFit="1" customWidth="1"/>
    <col min="271" max="512" width="9.140625" style="19"/>
    <col min="513" max="513" width="6" style="19" customWidth="1"/>
    <col min="514" max="514" width="14.28515625" style="19" customWidth="1"/>
    <col min="515" max="519" width="9.140625" style="19"/>
    <col min="520" max="520" width="12" style="19" customWidth="1"/>
    <col min="521" max="525" width="9.140625" style="19"/>
    <col min="526" max="526" width="10.85546875" style="19" bestFit="1" customWidth="1"/>
    <col min="527" max="768" width="9.140625" style="19"/>
    <col min="769" max="769" width="6" style="19" customWidth="1"/>
    <col min="770" max="770" width="14.28515625" style="19" customWidth="1"/>
    <col min="771" max="775" width="9.140625" style="19"/>
    <col min="776" max="776" width="12" style="19" customWidth="1"/>
    <col min="777" max="781" width="9.140625" style="19"/>
    <col min="782" max="782" width="10.85546875" style="19" bestFit="1" customWidth="1"/>
    <col min="783" max="1024" width="9.140625" style="19"/>
    <col min="1025" max="1025" width="6" style="19" customWidth="1"/>
    <col min="1026" max="1026" width="14.28515625" style="19" customWidth="1"/>
    <col min="1027" max="1031" width="9.140625" style="19"/>
    <col min="1032" max="1032" width="12" style="19" customWidth="1"/>
    <col min="1033" max="1037" width="9.140625" style="19"/>
    <col min="1038" max="1038" width="10.85546875" style="19" bestFit="1" customWidth="1"/>
    <col min="1039" max="1280" width="9.140625" style="19"/>
    <col min="1281" max="1281" width="6" style="19" customWidth="1"/>
    <col min="1282" max="1282" width="14.28515625" style="19" customWidth="1"/>
    <col min="1283" max="1287" width="9.140625" style="19"/>
    <col min="1288" max="1288" width="12" style="19" customWidth="1"/>
    <col min="1289" max="1293" width="9.140625" style="19"/>
    <col min="1294" max="1294" width="10.85546875" style="19" bestFit="1" customWidth="1"/>
    <col min="1295" max="1536" width="9.140625" style="19"/>
    <col min="1537" max="1537" width="6" style="19" customWidth="1"/>
    <col min="1538" max="1538" width="14.28515625" style="19" customWidth="1"/>
    <col min="1539" max="1543" width="9.140625" style="19"/>
    <col min="1544" max="1544" width="12" style="19" customWidth="1"/>
    <col min="1545" max="1549" width="9.140625" style="19"/>
    <col min="1550" max="1550" width="10.85546875" style="19" bestFit="1" customWidth="1"/>
    <col min="1551" max="1792" width="9.140625" style="19"/>
    <col min="1793" max="1793" width="6" style="19" customWidth="1"/>
    <col min="1794" max="1794" width="14.28515625" style="19" customWidth="1"/>
    <col min="1795" max="1799" width="9.140625" style="19"/>
    <col min="1800" max="1800" width="12" style="19" customWidth="1"/>
    <col min="1801" max="1805" width="9.140625" style="19"/>
    <col min="1806" max="1806" width="10.85546875" style="19" bestFit="1" customWidth="1"/>
    <col min="1807" max="2048" width="9.140625" style="19"/>
    <col min="2049" max="2049" width="6" style="19" customWidth="1"/>
    <col min="2050" max="2050" width="14.28515625" style="19" customWidth="1"/>
    <col min="2051" max="2055" width="9.140625" style="19"/>
    <col min="2056" max="2056" width="12" style="19" customWidth="1"/>
    <col min="2057" max="2061" width="9.140625" style="19"/>
    <col min="2062" max="2062" width="10.85546875" style="19" bestFit="1" customWidth="1"/>
    <col min="2063" max="2304" width="9.140625" style="19"/>
    <col min="2305" max="2305" width="6" style="19" customWidth="1"/>
    <col min="2306" max="2306" width="14.28515625" style="19" customWidth="1"/>
    <col min="2307" max="2311" width="9.140625" style="19"/>
    <col min="2312" max="2312" width="12" style="19" customWidth="1"/>
    <col min="2313" max="2317" width="9.140625" style="19"/>
    <col min="2318" max="2318" width="10.85546875" style="19" bestFit="1" customWidth="1"/>
    <col min="2319" max="2560" width="9.140625" style="19"/>
    <col min="2561" max="2561" width="6" style="19" customWidth="1"/>
    <col min="2562" max="2562" width="14.28515625" style="19" customWidth="1"/>
    <col min="2563" max="2567" width="9.140625" style="19"/>
    <col min="2568" max="2568" width="12" style="19" customWidth="1"/>
    <col min="2569" max="2573" width="9.140625" style="19"/>
    <col min="2574" max="2574" width="10.85546875" style="19" bestFit="1" customWidth="1"/>
    <col min="2575" max="2816" width="9.140625" style="19"/>
    <col min="2817" max="2817" width="6" style="19" customWidth="1"/>
    <col min="2818" max="2818" width="14.28515625" style="19" customWidth="1"/>
    <col min="2819" max="2823" width="9.140625" style="19"/>
    <col min="2824" max="2824" width="12" style="19" customWidth="1"/>
    <col min="2825" max="2829" width="9.140625" style="19"/>
    <col min="2830" max="2830" width="10.85546875" style="19" bestFit="1" customWidth="1"/>
    <col min="2831" max="3072" width="9.140625" style="19"/>
    <col min="3073" max="3073" width="6" style="19" customWidth="1"/>
    <col min="3074" max="3074" width="14.28515625" style="19" customWidth="1"/>
    <col min="3075" max="3079" width="9.140625" style="19"/>
    <col min="3080" max="3080" width="12" style="19" customWidth="1"/>
    <col min="3081" max="3085" width="9.140625" style="19"/>
    <col min="3086" max="3086" width="10.85546875" style="19" bestFit="1" customWidth="1"/>
    <col min="3087" max="3328" width="9.140625" style="19"/>
    <col min="3329" max="3329" width="6" style="19" customWidth="1"/>
    <col min="3330" max="3330" width="14.28515625" style="19" customWidth="1"/>
    <col min="3331" max="3335" width="9.140625" style="19"/>
    <col min="3336" max="3336" width="12" style="19" customWidth="1"/>
    <col min="3337" max="3341" width="9.140625" style="19"/>
    <col min="3342" max="3342" width="10.85546875" style="19" bestFit="1" customWidth="1"/>
    <col min="3343" max="3584" width="9.140625" style="19"/>
    <col min="3585" max="3585" width="6" style="19" customWidth="1"/>
    <col min="3586" max="3586" width="14.28515625" style="19" customWidth="1"/>
    <col min="3587" max="3591" width="9.140625" style="19"/>
    <col min="3592" max="3592" width="12" style="19" customWidth="1"/>
    <col min="3593" max="3597" width="9.140625" style="19"/>
    <col min="3598" max="3598" width="10.85546875" style="19" bestFit="1" customWidth="1"/>
    <col min="3599" max="3840" width="9.140625" style="19"/>
    <col min="3841" max="3841" width="6" style="19" customWidth="1"/>
    <col min="3842" max="3842" width="14.28515625" style="19" customWidth="1"/>
    <col min="3843" max="3847" width="9.140625" style="19"/>
    <col min="3848" max="3848" width="12" style="19" customWidth="1"/>
    <col min="3849" max="3853" width="9.140625" style="19"/>
    <col min="3854" max="3854" width="10.85546875" style="19" bestFit="1" customWidth="1"/>
    <col min="3855" max="4096" width="9.140625" style="19"/>
    <col min="4097" max="4097" width="6" style="19" customWidth="1"/>
    <col min="4098" max="4098" width="14.28515625" style="19" customWidth="1"/>
    <col min="4099" max="4103" width="9.140625" style="19"/>
    <col min="4104" max="4104" width="12" style="19" customWidth="1"/>
    <col min="4105" max="4109" width="9.140625" style="19"/>
    <col min="4110" max="4110" width="10.85546875" style="19" bestFit="1" customWidth="1"/>
    <col min="4111" max="4352" width="9.140625" style="19"/>
    <col min="4353" max="4353" width="6" style="19" customWidth="1"/>
    <col min="4354" max="4354" width="14.28515625" style="19" customWidth="1"/>
    <col min="4355" max="4359" width="9.140625" style="19"/>
    <col min="4360" max="4360" width="12" style="19" customWidth="1"/>
    <col min="4361" max="4365" width="9.140625" style="19"/>
    <col min="4366" max="4366" width="10.85546875" style="19" bestFit="1" customWidth="1"/>
    <col min="4367" max="4608" width="9.140625" style="19"/>
    <col min="4609" max="4609" width="6" style="19" customWidth="1"/>
    <col min="4610" max="4610" width="14.28515625" style="19" customWidth="1"/>
    <col min="4611" max="4615" width="9.140625" style="19"/>
    <col min="4616" max="4616" width="12" style="19" customWidth="1"/>
    <col min="4617" max="4621" width="9.140625" style="19"/>
    <col min="4622" max="4622" width="10.85546875" style="19" bestFit="1" customWidth="1"/>
    <col min="4623" max="4864" width="9.140625" style="19"/>
    <col min="4865" max="4865" width="6" style="19" customWidth="1"/>
    <col min="4866" max="4866" width="14.28515625" style="19" customWidth="1"/>
    <col min="4867" max="4871" width="9.140625" style="19"/>
    <col min="4872" max="4872" width="12" style="19" customWidth="1"/>
    <col min="4873" max="4877" width="9.140625" style="19"/>
    <col min="4878" max="4878" width="10.85546875" style="19" bestFit="1" customWidth="1"/>
    <col min="4879" max="5120" width="9.140625" style="19"/>
    <col min="5121" max="5121" width="6" style="19" customWidth="1"/>
    <col min="5122" max="5122" width="14.28515625" style="19" customWidth="1"/>
    <col min="5123" max="5127" width="9.140625" style="19"/>
    <col min="5128" max="5128" width="12" style="19" customWidth="1"/>
    <col min="5129" max="5133" width="9.140625" style="19"/>
    <col min="5134" max="5134" width="10.85546875" style="19" bestFit="1" customWidth="1"/>
    <col min="5135" max="5376" width="9.140625" style="19"/>
    <col min="5377" max="5377" width="6" style="19" customWidth="1"/>
    <col min="5378" max="5378" width="14.28515625" style="19" customWidth="1"/>
    <col min="5379" max="5383" width="9.140625" style="19"/>
    <col min="5384" max="5384" width="12" style="19" customWidth="1"/>
    <col min="5385" max="5389" width="9.140625" style="19"/>
    <col min="5390" max="5390" width="10.85546875" style="19" bestFit="1" customWidth="1"/>
    <col min="5391" max="5632" width="9.140625" style="19"/>
    <col min="5633" max="5633" width="6" style="19" customWidth="1"/>
    <col min="5634" max="5634" width="14.28515625" style="19" customWidth="1"/>
    <col min="5635" max="5639" width="9.140625" style="19"/>
    <col min="5640" max="5640" width="12" style="19" customWidth="1"/>
    <col min="5641" max="5645" width="9.140625" style="19"/>
    <col min="5646" max="5646" width="10.85546875" style="19" bestFit="1" customWidth="1"/>
    <col min="5647" max="5888" width="9.140625" style="19"/>
    <col min="5889" max="5889" width="6" style="19" customWidth="1"/>
    <col min="5890" max="5890" width="14.28515625" style="19" customWidth="1"/>
    <col min="5891" max="5895" width="9.140625" style="19"/>
    <col min="5896" max="5896" width="12" style="19" customWidth="1"/>
    <col min="5897" max="5901" width="9.140625" style="19"/>
    <col min="5902" max="5902" width="10.85546875" style="19" bestFit="1" customWidth="1"/>
    <col min="5903" max="6144" width="9.140625" style="19"/>
    <col min="6145" max="6145" width="6" style="19" customWidth="1"/>
    <col min="6146" max="6146" width="14.28515625" style="19" customWidth="1"/>
    <col min="6147" max="6151" width="9.140625" style="19"/>
    <col min="6152" max="6152" width="12" style="19" customWidth="1"/>
    <col min="6153" max="6157" width="9.140625" style="19"/>
    <col min="6158" max="6158" width="10.85546875" style="19" bestFit="1" customWidth="1"/>
    <col min="6159" max="6400" width="9.140625" style="19"/>
    <col min="6401" max="6401" width="6" style="19" customWidth="1"/>
    <col min="6402" max="6402" width="14.28515625" style="19" customWidth="1"/>
    <col min="6403" max="6407" width="9.140625" style="19"/>
    <col min="6408" max="6408" width="12" style="19" customWidth="1"/>
    <col min="6409" max="6413" width="9.140625" style="19"/>
    <col min="6414" max="6414" width="10.85546875" style="19" bestFit="1" customWidth="1"/>
    <col min="6415" max="6656" width="9.140625" style="19"/>
    <col min="6657" max="6657" width="6" style="19" customWidth="1"/>
    <col min="6658" max="6658" width="14.28515625" style="19" customWidth="1"/>
    <col min="6659" max="6663" width="9.140625" style="19"/>
    <col min="6664" max="6664" width="12" style="19" customWidth="1"/>
    <col min="6665" max="6669" width="9.140625" style="19"/>
    <col min="6670" max="6670" width="10.85546875" style="19" bestFit="1" customWidth="1"/>
    <col min="6671" max="6912" width="9.140625" style="19"/>
    <col min="6913" max="6913" width="6" style="19" customWidth="1"/>
    <col min="6914" max="6914" width="14.28515625" style="19" customWidth="1"/>
    <col min="6915" max="6919" width="9.140625" style="19"/>
    <col min="6920" max="6920" width="12" style="19" customWidth="1"/>
    <col min="6921" max="6925" width="9.140625" style="19"/>
    <col min="6926" max="6926" width="10.85546875" style="19" bestFit="1" customWidth="1"/>
    <col min="6927" max="7168" width="9.140625" style="19"/>
    <col min="7169" max="7169" width="6" style="19" customWidth="1"/>
    <col min="7170" max="7170" width="14.28515625" style="19" customWidth="1"/>
    <col min="7171" max="7175" width="9.140625" style="19"/>
    <col min="7176" max="7176" width="12" style="19" customWidth="1"/>
    <col min="7177" max="7181" width="9.140625" style="19"/>
    <col min="7182" max="7182" width="10.85546875" style="19" bestFit="1" customWidth="1"/>
    <col min="7183" max="7424" width="9.140625" style="19"/>
    <col min="7425" max="7425" width="6" style="19" customWidth="1"/>
    <col min="7426" max="7426" width="14.28515625" style="19" customWidth="1"/>
    <col min="7427" max="7431" width="9.140625" style="19"/>
    <col min="7432" max="7432" width="12" style="19" customWidth="1"/>
    <col min="7433" max="7437" width="9.140625" style="19"/>
    <col min="7438" max="7438" width="10.85546875" style="19" bestFit="1" customWidth="1"/>
    <col min="7439" max="7680" width="9.140625" style="19"/>
    <col min="7681" max="7681" width="6" style="19" customWidth="1"/>
    <col min="7682" max="7682" width="14.28515625" style="19" customWidth="1"/>
    <col min="7683" max="7687" width="9.140625" style="19"/>
    <col min="7688" max="7688" width="12" style="19" customWidth="1"/>
    <col min="7689" max="7693" width="9.140625" style="19"/>
    <col min="7694" max="7694" width="10.85546875" style="19" bestFit="1" customWidth="1"/>
    <col min="7695" max="7936" width="9.140625" style="19"/>
    <col min="7937" max="7937" width="6" style="19" customWidth="1"/>
    <col min="7938" max="7938" width="14.28515625" style="19" customWidth="1"/>
    <col min="7939" max="7943" width="9.140625" style="19"/>
    <col min="7944" max="7944" width="12" style="19" customWidth="1"/>
    <col min="7945" max="7949" width="9.140625" style="19"/>
    <col min="7950" max="7950" width="10.85546875" style="19" bestFit="1" customWidth="1"/>
    <col min="7951" max="8192" width="9.140625" style="19"/>
    <col min="8193" max="8193" width="6" style="19" customWidth="1"/>
    <col min="8194" max="8194" width="14.28515625" style="19" customWidth="1"/>
    <col min="8195" max="8199" width="9.140625" style="19"/>
    <col min="8200" max="8200" width="12" style="19" customWidth="1"/>
    <col min="8201" max="8205" width="9.140625" style="19"/>
    <col min="8206" max="8206" width="10.85546875" style="19" bestFit="1" customWidth="1"/>
    <col min="8207" max="8448" width="9.140625" style="19"/>
    <col min="8449" max="8449" width="6" style="19" customWidth="1"/>
    <col min="8450" max="8450" width="14.28515625" style="19" customWidth="1"/>
    <col min="8451" max="8455" width="9.140625" style="19"/>
    <col min="8456" max="8456" width="12" style="19" customWidth="1"/>
    <col min="8457" max="8461" width="9.140625" style="19"/>
    <col min="8462" max="8462" width="10.85546875" style="19" bestFit="1" customWidth="1"/>
    <col min="8463" max="8704" width="9.140625" style="19"/>
    <col min="8705" max="8705" width="6" style="19" customWidth="1"/>
    <col min="8706" max="8706" width="14.28515625" style="19" customWidth="1"/>
    <col min="8707" max="8711" width="9.140625" style="19"/>
    <col min="8712" max="8712" width="12" style="19" customWidth="1"/>
    <col min="8713" max="8717" width="9.140625" style="19"/>
    <col min="8718" max="8718" width="10.85546875" style="19" bestFit="1" customWidth="1"/>
    <col min="8719" max="8960" width="9.140625" style="19"/>
    <col min="8961" max="8961" width="6" style="19" customWidth="1"/>
    <col min="8962" max="8962" width="14.28515625" style="19" customWidth="1"/>
    <col min="8963" max="8967" width="9.140625" style="19"/>
    <col min="8968" max="8968" width="12" style="19" customWidth="1"/>
    <col min="8969" max="8973" width="9.140625" style="19"/>
    <col min="8974" max="8974" width="10.85546875" style="19" bestFit="1" customWidth="1"/>
    <col min="8975" max="9216" width="9.140625" style="19"/>
    <col min="9217" max="9217" width="6" style="19" customWidth="1"/>
    <col min="9218" max="9218" width="14.28515625" style="19" customWidth="1"/>
    <col min="9219" max="9223" width="9.140625" style="19"/>
    <col min="9224" max="9224" width="12" style="19" customWidth="1"/>
    <col min="9225" max="9229" width="9.140625" style="19"/>
    <col min="9230" max="9230" width="10.85546875" style="19" bestFit="1" customWidth="1"/>
    <col min="9231" max="9472" width="9.140625" style="19"/>
    <col min="9473" max="9473" width="6" style="19" customWidth="1"/>
    <col min="9474" max="9474" width="14.28515625" style="19" customWidth="1"/>
    <col min="9475" max="9479" width="9.140625" style="19"/>
    <col min="9480" max="9480" width="12" style="19" customWidth="1"/>
    <col min="9481" max="9485" width="9.140625" style="19"/>
    <col min="9486" max="9486" width="10.85546875" style="19" bestFit="1" customWidth="1"/>
    <col min="9487" max="9728" width="9.140625" style="19"/>
    <col min="9729" max="9729" width="6" style="19" customWidth="1"/>
    <col min="9730" max="9730" width="14.28515625" style="19" customWidth="1"/>
    <col min="9731" max="9735" width="9.140625" style="19"/>
    <col min="9736" max="9736" width="12" style="19" customWidth="1"/>
    <col min="9737" max="9741" width="9.140625" style="19"/>
    <col min="9742" max="9742" width="10.85546875" style="19" bestFit="1" customWidth="1"/>
    <col min="9743" max="9984" width="9.140625" style="19"/>
    <col min="9985" max="9985" width="6" style="19" customWidth="1"/>
    <col min="9986" max="9986" width="14.28515625" style="19" customWidth="1"/>
    <col min="9987" max="9991" width="9.140625" style="19"/>
    <col min="9992" max="9992" width="12" style="19" customWidth="1"/>
    <col min="9993" max="9997" width="9.140625" style="19"/>
    <col min="9998" max="9998" width="10.85546875" style="19" bestFit="1" customWidth="1"/>
    <col min="9999" max="10240" width="9.140625" style="19"/>
    <col min="10241" max="10241" width="6" style="19" customWidth="1"/>
    <col min="10242" max="10242" width="14.28515625" style="19" customWidth="1"/>
    <col min="10243" max="10247" width="9.140625" style="19"/>
    <col min="10248" max="10248" width="12" style="19" customWidth="1"/>
    <col min="10249" max="10253" width="9.140625" style="19"/>
    <col min="10254" max="10254" width="10.85546875" style="19" bestFit="1" customWidth="1"/>
    <col min="10255" max="10496" width="9.140625" style="19"/>
    <col min="10497" max="10497" width="6" style="19" customWidth="1"/>
    <col min="10498" max="10498" width="14.28515625" style="19" customWidth="1"/>
    <col min="10499" max="10503" width="9.140625" style="19"/>
    <col min="10504" max="10504" width="12" style="19" customWidth="1"/>
    <col min="10505" max="10509" width="9.140625" style="19"/>
    <col min="10510" max="10510" width="10.85546875" style="19" bestFit="1" customWidth="1"/>
    <col min="10511" max="10752" width="9.140625" style="19"/>
    <col min="10753" max="10753" width="6" style="19" customWidth="1"/>
    <col min="10754" max="10754" width="14.28515625" style="19" customWidth="1"/>
    <col min="10755" max="10759" width="9.140625" style="19"/>
    <col min="10760" max="10760" width="12" style="19" customWidth="1"/>
    <col min="10761" max="10765" width="9.140625" style="19"/>
    <col min="10766" max="10766" width="10.85546875" style="19" bestFit="1" customWidth="1"/>
    <col min="10767" max="11008" width="9.140625" style="19"/>
    <col min="11009" max="11009" width="6" style="19" customWidth="1"/>
    <col min="11010" max="11010" width="14.28515625" style="19" customWidth="1"/>
    <col min="11011" max="11015" width="9.140625" style="19"/>
    <col min="11016" max="11016" width="12" style="19" customWidth="1"/>
    <col min="11017" max="11021" width="9.140625" style="19"/>
    <col min="11022" max="11022" width="10.85546875" style="19" bestFit="1" customWidth="1"/>
    <col min="11023" max="11264" width="9.140625" style="19"/>
    <col min="11265" max="11265" width="6" style="19" customWidth="1"/>
    <col min="11266" max="11266" width="14.28515625" style="19" customWidth="1"/>
    <col min="11267" max="11271" width="9.140625" style="19"/>
    <col min="11272" max="11272" width="12" style="19" customWidth="1"/>
    <col min="11273" max="11277" width="9.140625" style="19"/>
    <col min="11278" max="11278" width="10.85546875" style="19" bestFit="1" customWidth="1"/>
    <col min="11279" max="11520" width="9.140625" style="19"/>
    <col min="11521" max="11521" width="6" style="19" customWidth="1"/>
    <col min="11522" max="11522" width="14.28515625" style="19" customWidth="1"/>
    <col min="11523" max="11527" width="9.140625" style="19"/>
    <col min="11528" max="11528" width="12" style="19" customWidth="1"/>
    <col min="11529" max="11533" width="9.140625" style="19"/>
    <col min="11534" max="11534" width="10.85546875" style="19" bestFit="1" customWidth="1"/>
    <col min="11535" max="11776" width="9.140625" style="19"/>
    <col min="11777" max="11777" width="6" style="19" customWidth="1"/>
    <col min="11778" max="11778" width="14.28515625" style="19" customWidth="1"/>
    <col min="11779" max="11783" width="9.140625" style="19"/>
    <col min="11784" max="11784" width="12" style="19" customWidth="1"/>
    <col min="11785" max="11789" width="9.140625" style="19"/>
    <col min="11790" max="11790" width="10.85546875" style="19" bestFit="1" customWidth="1"/>
    <col min="11791" max="12032" width="9.140625" style="19"/>
    <col min="12033" max="12033" width="6" style="19" customWidth="1"/>
    <col min="12034" max="12034" width="14.28515625" style="19" customWidth="1"/>
    <col min="12035" max="12039" width="9.140625" style="19"/>
    <col min="12040" max="12040" width="12" style="19" customWidth="1"/>
    <col min="12041" max="12045" width="9.140625" style="19"/>
    <col min="12046" max="12046" width="10.85546875" style="19" bestFit="1" customWidth="1"/>
    <col min="12047" max="12288" width="9.140625" style="19"/>
    <col min="12289" max="12289" width="6" style="19" customWidth="1"/>
    <col min="12290" max="12290" width="14.28515625" style="19" customWidth="1"/>
    <col min="12291" max="12295" width="9.140625" style="19"/>
    <col min="12296" max="12296" width="12" style="19" customWidth="1"/>
    <col min="12297" max="12301" width="9.140625" style="19"/>
    <col min="12302" max="12302" width="10.85546875" style="19" bestFit="1" customWidth="1"/>
    <col min="12303" max="12544" width="9.140625" style="19"/>
    <col min="12545" max="12545" width="6" style="19" customWidth="1"/>
    <col min="12546" max="12546" width="14.28515625" style="19" customWidth="1"/>
    <col min="12547" max="12551" width="9.140625" style="19"/>
    <col min="12552" max="12552" width="12" style="19" customWidth="1"/>
    <col min="12553" max="12557" width="9.140625" style="19"/>
    <col min="12558" max="12558" width="10.85546875" style="19" bestFit="1" customWidth="1"/>
    <col min="12559" max="12800" width="9.140625" style="19"/>
    <col min="12801" max="12801" width="6" style="19" customWidth="1"/>
    <col min="12802" max="12802" width="14.28515625" style="19" customWidth="1"/>
    <col min="12803" max="12807" width="9.140625" style="19"/>
    <col min="12808" max="12808" width="12" style="19" customWidth="1"/>
    <col min="12809" max="12813" width="9.140625" style="19"/>
    <col min="12814" max="12814" width="10.85546875" style="19" bestFit="1" customWidth="1"/>
    <col min="12815" max="13056" width="9.140625" style="19"/>
    <col min="13057" max="13057" width="6" style="19" customWidth="1"/>
    <col min="13058" max="13058" width="14.28515625" style="19" customWidth="1"/>
    <col min="13059" max="13063" width="9.140625" style="19"/>
    <col min="13064" max="13064" width="12" style="19" customWidth="1"/>
    <col min="13065" max="13069" width="9.140625" style="19"/>
    <col min="13070" max="13070" width="10.85546875" style="19" bestFit="1" customWidth="1"/>
    <col min="13071" max="13312" width="9.140625" style="19"/>
    <col min="13313" max="13313" width="6" style="19" customWidth="1"/>
    <col min="13314" max="13314" width="14.28515625" style="19" customWidth="1"/>
    <col min="13315" max="13319" width="9.140625" style="19"/>
    <col min="13320" max="13320" width="12" style="19" customWidth="1"/>
    <col min="13321" max="13325" width="9.140625" style="19"/>
    <col min="13326" max="13326" width="10.85546875" style="19" bestFit="1" customWidth="1"/>
    <col min="13327" max="13568" width="9.140625" style="19"/>
    <col min="13569" max="13569" width="6" style="19" customWidth="1"/>
    <col min="13570" max="13570" width="14.28515625" style="19" customWidth="1"/>
    <col min="13571" max="13575" width="9.140625" style="19"/>
    <col min="13576" max="13576" width="12" style="19" customWidth="1"/>
    <col min="13577" max="13581" width="9.140625" style="19"/>
    <col min="13582" max="13582" width="10.85546875" style="19" bestFit="1" customWidth="1"/>
    <col min="13583" max="13824" width="9.140625" style="19"/>
    <col min="13825" max="13825" width="6" style="19" customWidth="1"/>
    <col min="13826" max="13826" width="14.28515625" style="19" customWidth="1"/>
    <col min="13827" max="13831" width="9.140625" style="19"/>
    <col min="13832" max="13832" width="12" style="19" customWidth="1"/>
    <col min="13833" max="13837" width="9.140625" style="19"/>
    <col min="13838" max="13838" width="10.85546875" style="19" bestFit="1" customWidth="1"/>
    <col min="13839" max="14080" width="9.140625" style="19"/>
    <col min="14081" max="14081" width="6" style="19" customWidth="1"/>
    <col min="14082" max="14082" width="14.28515625" style="19" customWidth="1"/>
    <col min="14083" max="14087" width="9.140625" style="19"/>
    <col min="14088" max="14088" width="12" style="19" customWidth="1"/>
    <col min="14089" max="14093" width="9.140625" style="19"/>
    <col min="14094" max="14094" width="10.85546875" style="19" bestFit="1" customWidth="1"/>
    <col min="14095" max="14336" width="9.140625" style="19"/>
    <col min="14337" max="14337" width="6" style="19" customWidth="1"/>
    <col min="14338" max="14338" width="14.28515625" style="19" customWidth="1"/>
    <col min="14339" max="14343" width="9.140625" style="19"/>
    <col min="14344" max="14344" width="12" style="19" customWidth="1"/>
    <col min="14345" max="14349" width="9.140625" style="19"/>
    <col min="14350" max="14350" width="10.85546875" style="19" bestFit="1" customWidth="1"/>
    <col min="14351" max="14592" width="9.140625" style="19"/>
    <col min="14593" max="14593" width="6" style="19" customWidth="1"/>
    <col min="14594" max="14594" width="14.28515625" style="19" customWidth="1"/>
    <col min="14595" max="14599" width="9.140625" style="19"/>
    <col min="14600" max="14600" width="12" style="19" customWidth="1"/>
    <col min="14601" max="14605" width="9.140625" style="19"/>
    <col min="14606" max="14606" width="10.85546875" style="19" bestFit="1" customWidth="1"/>
    <col min="14607" max="14848" width="9.140625" style="19"/>
    <col min="14849" max="14849" width="6" style="19" customWidth="1"/>
    <col min="14850" max="14850" width="14.28515625" style="19" customWidth="1"/>
    <col min="14851" max="14855" width="9.140625" style="19"/>
    <col min="14856" max="14856" width="12" style="19" customWidth="1"/>
    <col min="14857" max="14861" width="9.140625" style="19"/>
    <col min="14862" max="14862" width="10.85546875" style="19" bestFit="1" customWidth="1"/>
    <col min="14863" max="15104" width="9.140625" style="19"/>
    <col min="15105" max="15105" width="6" style="19" customWidth="1"/>
    <col min="15106" max="15106" width="14.28515625" style="19" customWidth="1"/>
    <col min="15107" max="15111" width="9.140625" style="19"/>
    <col min="15112" max="15112" width="12" style="19" customWidth="1"/>
    <col min="15113" max="15117" width="9.140625" style="19"/>
    <col min="15118" max="15118" width="10.85546875" style="19" bestFit="1" customWidth="1"/>
    <col min="15119" max="15360" width="9.140625" style="19"/>
    <col min="15361" max="15361" width="6" style="19" customWidth="1"/>
    <col min="15362" max="15362" width="14.28515625" style="19" customWidth="1"/>
    <col min="15363" max="15367" width="9.140625" style="19"/>
    <col min="15368" max="15368" width="12" style="19" customWidth="1"/>
    <col min="15369" max="15373" width="9.140625" style="19"/>
    <col min="15374" max="15374" width="10.85546875" style="19" bestFit="1" customWidth="1"/>
    <col min="15375" max="15616" width="9.140625" style="19"/>
    <col min="15617" max="15617" width="6" style="19" customWidth="1"/>
    <col min="15618" max="15618" width="14.28515625" style="19" customWidth="1"/>
    <col min="15619" max="15623" width="9.140625" style="19"/>
    <col min="15624" max="15624" width="12" style="19" customWidth="1"/>
    <col min="15625" max="15629" width="9.140625" style="19"/>
    <col min="15630" max="15630" width="10.85546875" style="19" bestFit="1" customWidth="1"/>
    <col min="15631" max="15872" width="9.140625" style="19"/>
    <col min="15873" max="15873" width="6" style="19" customWidth="1"/>
    <col min="15874" max="15874" width="14.28515625" style="19" customWidth="1"/>
    <col min="15875" max="15879" width="9.140625" style="19"/>
    <col min="15880" max="15880" width="12" style="19" customWidth="1"/>
    <col min="15881" max="15885" width="9.140625" style="19"/>
    <col min="15886" max="15886" width="10.85546875" style="19" bestFit="1" customWidth="1"/>
    <col min="15887" max="16128" width="9.140625" style="19"/>
    <col min="16129" max="16129" width="6" style="19" customWidth="1"/>
    <col min="16130" max="16130" width="14.28515625" style="19" customWidth="1"/>
    <col min="16131" max="16135" width="9.140625" style="19"/>
    <col min="16136" max="16136" width="12" style="19" customWidth="1"/>
    <col min="16137" max="16141" width="9.140625" style="19"/>
    <col min="16142" max="16142" width="10.85546875" style="19" bestFit="1" customWidth="1"/>
    <col min="16143" max="16384" width="9.140625" style="19"/>
  </cols>
  <sheetData>
    <row r="1" spans="2:14" ht="15" thickBot="1"/>
    <row r="2" spans="2:14" ht="29.25" customHeight="1">
      <c r="B2" s="20" t="s">
        <v>207</v>
      </c>
      <c r="C2" s="136" t="s">
        <v>208</v>
      </c>
      <c r="D2" s="136"/>
      <c r="E2" s="136" t="s">
        <v>209</v>
      </c>
      <c r="F2" s="136"/>
      <c r="G2" s="136" t="s">
        <v>210</v>
      </c>
      <c r="H2" s="137"/>
      <c r="L2" s="21" t="s">
        <v>184</v>
      </c>
      <c r="M2" s="21" t="s">
        <v>165</v>
      </c>
      <c r="N2" s="21" t="s">
        <v>211</v>
      </c>
    </row>
    <row r="3" spans="2:14" ht="35.25" customHeight="1">
      <c r="B3" s="22" t="s">
        <v>212</v>
      </c>
      <c r="C3" s="23" t="s">
        <v>213</v>
      </c>
      <c r="D3" s="23" t="s">
        <v>214</v>
      </c>
      <c r="E3" s="23" t="s">
        <v>213</v>
      </c>
      <c r="F3" s="23" t="s">
        <v>214</v>
      </c>
      <c r="G3" s="23" t="s">
        <v>213</v>
      </c>
      <c r="H3" s="24" t="s">
        <v>214</v>
      </c>
      <c r="L3" s="21">
        <v>1</v>
      </c>
      <c r="M3" s="21">
        <v>1</v>
      </c>
      <c r="N3" s="25">
        <v>1.0032000000000001</v>
      </c>
    </row>
    <row r="4" spans="2:14" ht="17.45">
      <c r="B4" s="26">
        <v>1</v>
      </c>
      <c r="C4" s="23">
        <v>1.0032000000000001</v>
      </c>
      <c r="D4" s="23">
        <v>1.0028999999999999</v>
      </c>
      <c r="E4" s="23">
        <v>1.0029999999999999</v>
      </c>
      <c r="F4" s="23">
        <v>1.0029999999999999</v>
      </c>
      <c r="G4" s="23">
        <v>1.0029999999999999</v>
      </c>
      <c r="H4" s="24">
        <v>1.0031000000000001</v>
      </c>
      <c r="L4" s="21">
        <v>1</v>
      </c>
      <c r="M4" s="21">
        <v>1</v>
      </c>
      <c r="N4" s="25">
        <v>1.0028999999999999</v>
      </c>
    </row>
    <row r="5" spans="2:14" ht="17.45">
      <c r="B5" s="26">
        <v>2</v>
      </c>
      <c r="C5" s="23">
        <v>1.0024</v>
      </c>
      <c r="D5" s="23">
        <v>1.0022</v>
      </c>
      <c r="E5" s="23">
        <v>1.0023</v>
      </c>
      <c r="F5" s="23">
        <v>1.0022</v>
      </c>
      <c r="G5" s="23">
        <v>1.0023</v>
      </c>
      <c r="H5" s="24">
        <v>1.0019</v>
      </c>
      <c r="L5" s="21">
        <v>1</v>
      </c>
      <c r="M5" s="21">
        <v>2</v>
      </c>
      <c r="N5" s="25">
        <v>1.0029999999999999</v>
      </c>
    </row>
    <row r="6" spans="2:14" ht="17.45">
      <c r="B6" s="26">
        <v>3</v>
      </c>
      <c r="C6" s="23">
        <v>1.0049999999999999</v>
      </c>
      <c r="D6" s="23">
        <v>1.0049999999999999</v>
      </c>
      <c r="E6" s="23">
        <v>1.0048999999999999</v>
      </c>
      <c r="F6" s="23">
        <v>1.0049999999999999</v>
      </c>
      <c r="G6" s="23">
        <v>1.0048999999999999</v>
      </c>
      <c r="H6" s="24">
        <v>1.0048999999999999</v>
      </c>
      <c r="L6" s="21">
        <v>1</v>
      </c>
      <c r="M6" s="21">
        <v>2</v>
      </c>
      <c r="N6" s="25">
        <v>1.0029999999999999</v>
      </c>
    </row>
    <row r="7" spans="2:14" ht="17.45">
      <c r="B7" s="26">
        <v>4</v>
      </c>
      <c r="C7" s="23">
        <v>1.0075000000000001</v>
      </c>
      <c r="D7" s="23">
        <v>1.0052000000000001</v>
      </c>
      <c r="E7" s="23">
        <v>1.0051000000000001</v>
      </c>
      <c r="F7" s="23">
        <v>1.0051000000000001</v>
      </c>
      <c r="G7" s="23">
        <v>1.0051000000000001</v>
      </c>
      <c r="H7" s="24">
        <v>1.0051000000000001</v>
      </c>
      <c r="L7" s="21">
        <v>1</v>
      </c>
      <c r="M7" s="21">
        <v>3</v>
      </c>
      <c r="N7" s="25">
        <v>1.0029999999999999</v>
      </c>
    </row>
    <row r="8" spans="2:14" ht="17.45">
      <c r="B8" s="26">
        <v>5</v>
      </c>
      <c r="C8" s="23">
        <v>0.99650000000000005</v>
      </c>
      <c r="D8" s="23">
        <v>0.99690000000000001</v>
      </c>
      <c r="E8" s="23">
        <v>0.99650000000000005</v>
      </c>
      <c r="F8" s="23">
        <v>0.99650000000000005</v>
      </c>
      <c r="G8" s="23">
        <v>0.99660000000000004</v>
      </c>
      <c r="H8" s="24">
        <v>0.99660000000000004</v>
      </c>
      <c r="L8" s="21">
        <v>1</v>
      </c>
      <c r="M8" s="21">
        <v>3</v>
      </c>
      <c r="N8" s="25">
        <v>1.0031000000000001</v>
      </c>
    </row>
    <row r="9" spans="2:14" ht="17.45">
      <c r="B9" s="26">
        <v>6</v>
      </c>
      <c r="C9" s="23">
        <v>0.99970000000000003</v>
      </c>
      <c r="D9" s="23">
        <v>0.99970000000000003</v>
      </c>
      <c r="E9" s="23">
        <v>0.99970000000000003</v>
      </c>
      <c r="F9" s="23">
        <v>0.99970000000000003</v>
      </c>
      <c r="G9" s="23">
        <v>0.99980000000000002</v>
      </c>
      <c r="H9" s="24">
        <v>0.99980000000000002</v>
      </c>
      <c r="L9" s="21">
        <v>2</v>
      </c>
      <c r="M9" s="21">
        <v>1</v>
      </c>
      <c r="N9" s="25">
        <v>1.0024</v>
      </c>
    </row>
    <row r="10" spans="2:14" ht="17.45">
      <c r="B10" s="26">
        <v>7</v>
      </c>
      <c r="C10" s="23">
        <v>1.0038</v>
      </c>
      <c r="D10" s="23">
        <v>1.0038</v>
      </c>
      <c r="E10" s="23">
        <v>1.0038</v>
      </c>
      <c r="F10" s="23">
        <v>1.0038</v>
      </c>
      <c r="G10" s="23">
        <v>1.0038</v>
      </c>
      <c r="H10" s="24">
        <v>1.0038</v>
      </c>
      <c r="L10" s="21">
        <v>2</v>
      </c>
      <c r="M10" s="21">
        <v>1</v>
      </c>
      <c r="N10" s="25">
        <v>1.0022</v>
      </c>
    </row>
    <row r="11" spans="2:14" ht="17.45">
      <c r="B11" s="26">
        <v>8</v>
      </c>
      <c r="C11" s="23">
        <v>1.0031000000000001</v>
      </c>
      <c r="D11" s="23">
        <v>1.0033000000000001</v>
      </c>
      <c r="E11" s="23">
        <v>1.0029999999999999</v>
      </c>
      <c r="F11" s="23">
        <v>1.0031000000000001</v>
      </c>
      <c r="G11" s="23">
        <v>1.0038</v>
      </c>
      <c r="H11" s="24">
        <v>1.0032000000000001</v>
      </c>
      <c r="L11" s="21">
        <v>2</v>
      </c>
      <c r="M11" s="21">
        <v>2</v>
      </c>
      <c r="N11" s="25">
        <v>1.0023</v>
      </c>
    </row>
    <row r="12" spans="2:14" ht="17.45">
      <c r="B12" s="26">
        <v>9</v>
      </c>
      <c r="C12" s="23">
        <v>1.0054000000000001</v>
      </c>
      <c r="D12" s="23">
        <v>1.0054000000000001</v>
      </c>
      <c r="E12" s="23">
        <v>1.0054000000000001</v>
      </c>
      <c r="F12" s="23">
        <v>1.0054000000000001</v>
      </c>
      <c r="G12" s="23">
        <v>1.0054000000000001</v>
      </c>
      <c r="H12" s="24">
        <v>1.0054000000000001</v>
      </c>
      <c r="L12" s="21">
        <v>2</v>
      </c>
      <c r="M12" s="21">
        <v>2</v>
      </c>
      <c r="N12" s="25">
        <v>1.0022</v>
      </c>
    </row>
    <row r="13" spans="2:14" ht="18" thickBot="1">
      <c r="B13" s="27">
        <v>10</v>
      </c>
      <c r="C13" s="28">
        <v>1.0016</v>
      </c>
      <c r="D13" s="28">
        <v>1.0016</v>
      </c>
      <c r="E13" s="28">
        <v>1.0015000000000001</v>
      </c>
      <c r="F13" s="28">
        <v>1.0016</v>
      </c>
      <c r="G13" s="28">
        <v>1.0016</v>
      </c>
      <c r="H13" s="29">
        <v>1.0016</v>
      </c>
      <c r="L13" s="21">
        <v>2</v>
      </c>
      <c r="M13" s="21">
        <v>3</v>
      </c>
      <c r="N13" s="25">
        <v>1.0023</v>
      </c>
    </row>
    <row r="14" spans="2:14">
      <c r="L14" s="21">
        <v>2</v>
      </c>
      <c r="M14" s="21">
        <v>3</v>
      </c>
      <c r="N14" s="25">
        <v>1.0019</v>
      </c>
    </row>
    <row r="15" spans="2:14">
      <c r="L15" s="21">
        <v>3</v>
      </c>
      <c r="M15" s="21">
        <v>1</v>
      </c>
      <c r="N15" s="25">
        <v>1.0049999999999999</v>
      </c>
    </row>
    <row r="16" spans="2:14" ht="17.45">
      <c r="B16" s="92"/>
      <c r="L16" s="21">
        <v>3</v>
      </c>
      <c r="M16" s="21">
        <v>1</v>
      </c>
      <c r="N16" s="25">
        <v>1.0049999999999999</v>
      </c>
    </row>
    <row r="17" spans="2:14" ht="17.45">
      <c r="B17" s="92"/>
      <c r="L17" s="21">
        <v>3</v>
      </c>
      <c r="M17" s="21">
        <v>2</v>
      </c>
      <c r="N17" s="25">
        <v>1.0048999999999999</v>
      </c>
    </row>
    <row r="18" spans="2:14" ht="17.45">
      <c r="B18" s="92"/>
      <c r="L18" s="21">
        <v>3</v>
      </c>
      <c r="M18" s="21">
        <v>2</v>
      </c>
      <c r="N18" s="25">
        <v>1.0049999999999999</v>
      </c>
    </row>
    <row r="19" spans="2:14" ht="17.45">
      <c r="B19" s="92"/>
      <c r="L19" s="21">
        <v>3</v>
      </c>
      <c r="M19" s="21">
        <v>3</v>
      </c>
      <c r="N19" s="25">
        <v>1.0048999999999999</v>
      </c>
    </row>
    <row r="20" spans="2:14" ht="17.45">
      <c r="B20" s="92"/>
      <c r="L20" s="21">
        <v>3</v>
      </c>
      <c r="M20" s="21">
        <v>3</v>
      </c>
      <c r="N20" s="25">
        <v>1.0048999999999999</v>
      </c>
    </row>
    <row r="21" spans="2:14" ht="17.45">
      <c r="B21" s="92"/>
      <c r="L21" s="21">
        <v>4</v>
      </c>
      <c r="M21" s="21">
        <v>1</v>
      </c>
      <c r="N21" s="25">
        <v>1.0075000000000001</v>
      </c>
    </row>
    <row r="22" spans="2:14" ht="17.45">
      <c r="B22" s="92"/>
      <c r="L22" s="21">
        <v>4</v>
      </c>
      <c r="M22" s="21">
        <v>1</v>
      </c>
      <c r="N22" s="25">
        <v>1.0052000000000001</v>
      </c>
    </row>
    <row r="23" spans="2:14" ht="17.45">
      <c r="B23" s="92"/>
      <c r="L23" s="21">
        <v>4</v>
      </c>
      <c r="M23" s="21">
        <v>2</v>
      </c>
      <c r="N23" s="25">
        <v>1.0051000000000001</v>
      </c>
    </row>
    <row r="24" spans="2:14" ht="17.45">
      <c r="B24" s="92"/>
      <c r="L24" s="21">
        <v>4</v>
      </c>
      <c r="M24" s="21">
        <v>2</v>
      </c>
      <c r="N24" s="25">
        <v>1.0051000000000001</v>
      </c>
    </row>
    <row r="25" spans="2:14" ht="17.45">
      <c r="B25" s="92"/>
      <c r="L25" s="21">
        <v>4</v>
      </c>
      <c r="M25" s="21">
        <v>3</v>
      </c>
      <c r="N25" s="25">
        <v>1.0051000000000001</v>
      </c>
    </row>
    <row r="26" spans="2:14" ht="17.45">
      <c r="B26" s="92"/>
      <c r="L26" s="21">
        <v>4</v>
      </c>
      <c r="M26" s="21">
        <v>3</v>
      </c>
      <c r="N26" s="25">
        <v>1.0051000000000001</v>
      </c>
    </row>
    <row r="27" spans="2:14" ht="17.45">
      <c r="B27" s="92"/>
      <c r="L27" s="21">
        <v>5</v>
      </c>
      <c r="M27" s="21">
        <v>1</v>
      </c>
      <c r="N27" s="25">
        <v>0.99650000000000005</v>
      </c>
    </row>
    <row r="28" spans="2:14" ht="17.45">
      <c r="B28" s="92"/>
      <c r="L28" s="21">
        <v>5</v>
      </c>
      <c r="M28" s="21">
        <v>1</v>
      </c>
      <c r="N28" s="25">
        <v>0.99690000000000001</v>
      </c>
    </row>
    <row r="29" spans="2:14" ht="17.45">
      <c r="B29" s="92"/>
      <c r="L29" s="21">
        <v>5</v>
      </c>
      <c r="M29" s="21">
        <v>2</v>
      </c>
      <c r="N29" s="25">
        <v>0.99650000000000005</v>
      </c>
    </row>
    <row r="30" spans="2:14" ht="17.45">
      <c r="B30" s="92"/>
      <c r="L30" s="21">
        <v>5</v>
      </c>
      <c r="M30" s="21">
        <v>2</v>
      </c>
      <c r="N30" s="25">
        <v>0.99650000000000005</v>
      </c>
    </row>
    <row r="31" spans="2:14" ht="17.45">
      <c r="B31" s="92"/>
      <c r="L31" s="21">
        <v>5</v>
      </c>
      <c r="M31" s="21">
        <v>3</v>
      </c>
      <c r="N31" s="25">
        <v>0.99660000000000004</v>
      </c>
    </row>
    <row r="32" spans="2:14" ht="17.45">
      <c r="B32" s="92"/>
      <c r="L32" s="21">
        <v>5</v>
      </c>
      <c r="M32" s="21">
        <v>3</v>
      </c>
      <c r="N32" s="25">
        <v>0.99660000000000004</v>
      </c>
    </row>
    <row r="33" spans="2:14" ht="17.45">
      <c r="B33" s="92"/>
      <c r="L33" s="21">
        <v>6</v>
      </c>
      <c r="M33" s="21">
        <v>1</v>
      </c>
      <c r="N33" s="25">
        <v>0.99970000000000003</v>
      </c>
    </row>
    <row r="34" spans="2:14" ht="17.45">
      <c r="B34" s="92"/>
      <c r="L34" s="21">
        <v>6</v>
      </c>
      <c r="M34" s="21">
        <v>1</v>
      </c>
      <c r="N34" s="25">
        <v>0.99970000000000003</v>
      </c>
    </row>
    <row r="35" spans="2:14" ht="17.45">
      <c r="B35" s="92"/>
      <c r="L35" s="21">
        <v>6</v>
      </c>
      <c r="M35" s="21">
        <v>2</v>
      </c>
      <c r="N35" s="25">
        <v>0.99970000000000003</v>
      </c>
    </row>
    <row r="36" spans="2:14" ht="17.45">
      <c r="B36" s="92"/>
      <c r="L36" s="21">
        <v>6</v>
      </c>
      <c r="M36" s="21">
        <v>2</v>
      </c>
      <c r="N36" s="25">
        <v>0.99970000000000003</v>
      </c>
    </row>
    <row r="37" spans="2:14" ht="17.45">
      <c r="B37" s="92"/>
      <c r="L37" s="21">
        <v>6</v>
      </c>
      <c r="M37" s="21">
        <v>3</v>
      </c>
      <c r="N37" s="25">
        <v>0.99980000000000002</v>
      </c>
    </row>
    <row r="38" spans="2:14" ht="17.45">
      <c r="B38" s="92"/>
      <c r="L38" s="21">
        <v>6</v>
      </c>
      <c r="M38" s="21">
        <v>3</v>
      </c>
      <c r="N38" s="25">
        <v>0.99980000000000002</v>
      </c>
    </row>
    <row r="39" spans="2:14" ht="17.45">
      <c r="B39" s="92"/>
      <c r="L39" s="21">
        <v>7</v>
      </c>
      <c r="M39" s="21">
        <v>1</v>
      </c>
      <c r="N39" s="25">
        <v>1.0038</v>
      </c>
    </row>
    <row r="40" spans="2:14" ht="17.45">
      <c r="B40" s="92"/>
      <c r="L40" s="21">
        <v>7</v>
      </c>
      <c r="M40" s="21">
        <v>1</v>
      </c>
      <c r="N40" s="25">
        <v>1.0038</v>
      </c>
    </row>
    <row r="41" spans="2:14" ht="17.45">
      <c r="B41" s="92"/>
      <c r="L41" s="21">
        <v>7</v>
      </c>
      <c r="M41" s="21">
        <v>2</v>
      </c>
      <c r="N41" s="25">
        <v>1.0038</v>
      </c>
    </row>
    <row r="42" spans="2:14" ht="17.45">
      <c r="B42" s="92"/>
      <c r="L42" s="21">
        <v>7</v>
      </c>
      <c r="M42" s="21">
        <v>2</v>
      </c>
      <c r="N42" s="25">
        <v>1.0038</v>
      </c>
    </row>
    <row r="43" spans="2:14" ht="17.45">
      <c r="B43" s="92"/>
      <c r="L43" s="21">
        <v>7</v>
      </c>
      <c r="M43" s="21">
        <v>3</v>
      </c>
      <c r="N43" s="25">
        <v>1.0038</v>
      </c>
    </row>
    <row r="44" spans="2:14" ht="17.45">
      <c r="B44" s="92"/>
      <c r="L44" s="21">
        <v>7</v>
      </c>
      <c r="M44" s="21">
        <v>3</v>
      </c>
      <c r="N44" s="25">
        <v>1.0038</v>
      </c>
    </row>
    <row r="45" spans="2:14" ht="17.45">
      <c r="B45" s="92"/>
      <c r="L45" s="21">
        <v>8</v>
      </c>
      <c r="M45" s="21">
        <v>1</v>
      </c>
      <c r="N45" s="25">
        <v>1.0031000000000001</v>
      </c>
    </row>
    <row r="46" spans="2:14" ht="17.45">
      <c r="B46" s="92"/>
      <c r="L46" s="21">
        <v>8</v>
      </c>
      <c r="M46" s="21">
        <v>1</v>
      </c>
      <c r="N46" s="25">
        <v>1.0033000000000001</v>
      </c>
    </row>
    <row r="47" spans="2:14" ht="17.45">
      <c r="B47" s="92"/>
      <c r="L47" s="21">
        <v>8</v>
      </c>
      <c r="M47" s="21">
        <v>2</v>
      </c>
      <c r="N47" s="25">
        <v>1.0029999999999999</v>
      </c>
    </row>
    <row r="48" spans="2:14" ht="17.45">
      <c r="B48" s="92"/>
      <c r="L48" s="21">
        <v>8</v>
      </c>
      <c r="M48" s="21">
        <v>2</v>
      </c>
      <c r="N48" s="25">
        <v>1.0031000000000001</v>
      </c>
    </row>
    <row r="49" spans="2:14" ht="17.45">
      <c r="B49" s="92"/>
      <c r="L49" s="21">
        <v>8</v>
      </c>
      <c r="M49" s="21">
        <v>3</v>
      </c>
      <c r="N49" s="25">
        <v>1.0038</v>
      </c>
    </row>
    <row r="50" spans="2:14" ht="17.45">
      <c r="B50" s="92"/>
      <c r="L50" s="21">
        <v>8</v>
      </c>
      <c r="M50" s="21">
        <v>3</v>
      </c>
      <c r="N50" s="25">
        <v>1.0032000000000001</v>
      </c>
    </row>
    <row r="51" spans="2:14" ht="17.45">
      <c r="B51" s="92"/>
      <c r="L51" s="21">
        <v>9</v>
      </c>
      <c r="M51" s="21">
        <v>1</v>
      </c>
      <c r="N51" s="25">
        <v>1.0054000000000001</v>
      </c>
    </row>
    <row r="52" spans="2:14" ht="17.45">
      <c r="B52" s="92"/>
      <c r="L52" s="21">
        <v>9</v>
      </c>
      <c r="M52" s="21">
        <v>1</v>
      </c>
      <c r="N52" s="25">
        <v>1.0054000000000001</v>
      </c>
    </row>
    <row r="53" spans="2:14" ht="17.45">
      <c r="B53" s="92"/>
      <c r="L53" s="21">
        <v>9</v>
      </c>
      <c r="M53" s="21">
        <v>2</v>
      </c>
      <c r="N53" s="25">
        <v>1.0054000000000001</v>
      </c>
    </row>
    <row r="54" spans="2:14" ht="17.45">
      <c r="B54" s="92"/>
      <c r="L54" s="21">
        <v>9</v>
      </c>
      <c r="M54" s="21">
        <v>2</v>
      </c>
      <c r="N54" s="25">
        <v>1.0054000000000001</v>
      </c>
    </row>
    <row r="55" spans="2:14" ht="17.45">
      <c r="B55" s="92"/>
      <c r="L55" s="21">
        <v>9</v>
      </c>
      <c r="M55" s="21">
        <v>3</v>
      </c>
      <c r="N55" s="25">
        <v>1.0054000000000001</v>
      </c>
    </row>
    <row r="56" spans="2:14" ht="17.45">
      <c r="B56" s="92"/>
      <c r="L56" s="21">
        <v>9</v>
      </c>
      <c r="M56" s="21">
        <v>3</v>
      </c>
      <c r="N56" s="25">
        <v>1.0054000000000001</v>
      </c>
    </row>
    <row r="57" spans="2:14" ht="17.45">
      <c r="B57" s="92"/>
      <c r="L57" s="21">
        <v>10</v>
      </c>
      <c r="M57" s="21">
        <v>1</v>
      </c>
      <c r="N57" s="25">
        <v>1.0016</v>
      </c>
    </row>
    <row r="58" spans="2:14" ht="17.45">
      <c r="B58" s="92"/>
      <c r="L58" s="21">
        <v>10</v>
      </c>
      <c r="M58" s="21">
        <v>1</v>
      </c>
      <c r="N58" s="25">
        <v>1.0016</v>
      </c>
    </row>
    <row r="59" spans="2:14" ht="17.45">
      <c r="B59" s="92"/>
      <c r="L59" s="21">
        <v>10</v>
      </c>
      <c r="M59" s="21">
        <v>2</v>
      </c>
      <c r="N59" s="25">
        <v>1.0015000000000001</v>
      </c>
    </row>
    <row r="60" spans="2:14" ht="17.45">
      <c r="B60" s="92"/>
      <c r="L60" s="21">
        <v>10</v>
      </c>
      <c r="M60" s="21">
        <v>2</v>
      </c>
      <c r="N60" s="25">
        <v>1.0016</v>
      </c>
    </row>
    <row r="61" spans="2:14" ht="17.45">
      <c r="B61" s="92"/>
      <c r="L61" s="21">
        <v>10</v>
      </c>
      <c r="M61" s="21">
        <v>3</v>
      </c>
      <c r="N61" s="25">
        <v>1.0016</v>
      </c>
    </row>
    <row r="62" spans="2:14" ht="17.45">
      <c r="B62" s="92"/>
      <c r="L62" s="21">
        <v>10</v>
      </c>
      <c r="M62" s="21">
        <v>3</v>
      </c>
      <c r="N62" s="25">
        <v>1.0016</v>
      </c>
    </row>
    <row r="63" spans="2:14" ht="17.45">
      <c r="B63" s="92"/>
    </row>
    <row r="64" spans="2:14" ht="17.45">
      <c r="B64" s="92"/>
    </row>
    <row r="65" spans="2:2" ht="17.45">
      <c r="B65" s="92"/>
    </row>
    <row r="66" spans="2:2" ht="17.45">
      <c r="B66" s="92"/>
    </row>
    <row r="67" spans="2:2" ht="17.45">
      <c r="B67" s="92"/>
    </row>
    <row r="68" spans="2:2" ht="17.45">
      <c r="B68" s="92"/>
    </row>
    <row r="69" spans="2:2" ht="17.45">
      <c r="B69" s="92"/>
    </row>
    <row r="70" spans="2:2" ht="17.45">
      <c r="B70" s="92"/>
    </row>
    <row r="71" spans="2:2" ht="17.45">
      <c r="B71" s="92"/>
    </row>
    <row r="72" spans="2:2" ht="17.45">
      <c r="B72" s="92"/>
    </row>
    <row r="73" spans="2:2" ht="17.45">
      <c r="B73" s="92"/>
    </row>
    <row r="74" spans="2:2" ht="17.45">
      <c r="B74" s="92"/>
    </row>
    <row r="75" spans="2:2" ht="17.45">
      <c r="B75" s="92"/>
    </row>
  </sheetData>
  <mergeCells count="3">
    <mergeCell ref="C2:D2"/>
    <mergeCell ref="E2:F2"/>
    <mergeCell ref="G2:H2"/>
  </mergeCell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4:H8"/>
  <sheetViews>
    <sheetView showGridLines="0" zoomScale="190" zoomScaleNormal="190" workbookViewId="0">
      <selection activeCell="G12" sqref="G12"/>
    </sheetView>
  </sheetViews>
  <sheetFormatPr defaultColWidth="9.140625" defaultRowHeight="16.5"/>
  <cols>
    <col min="1" max="4" width="9.140625" style="6"/>
    <col min="5" max="5" width="11.28515625" style="6" bestFit="1" customWidth="1"/>
    <col min="6" max="16384" width="9.140625" style="6"/>
  </cols>
  <sheetData>
    <row r="4" spans="3:8">
      <c r="E4" s="7"/>
    </row>
    <row r="5" spans="3:8">
      <c r="C5" s="6" t="s">
        <v>187</v>
      </c>
      <c r="D5" s="6">
        <v>110</v>
      </c>
      <c r="E5" s="7"/>
      <c r="F5" s="6" t="s">
        <v>215</v>
      </c>
      <c r="G5" s="6">
        <f>(D5-D7)/D8</f>
        <v>1.5384615384615383</v>
      </c>
      <c r="H5" s="6">
        <v>6.1800000000000001E-2</v>
      </c>
    </row>
    <row r="6" spans="3:8">
      <c r="C6" s="6" t="s">
        <v>191</v>
      </c>
      <c r="D6" s="6">
        <v>90</v>
      </c>
      <c r="E6" s="8"/>
      <c r="F6" s="6" t="s">
        <v>216</v>
      </c>
      <c r="G6" s="6">
        <f>(D6-D7)/D8</f>
        <v>-2.3076923076923075</v>
      </c>
      <c r="H6" s="6">
        <v>1.04E-2</v>
      </c>
    </row>
    <row r="7" spans="3:8">
      <c r="C7" s="6" t="s">
        <v>217</v>
      </c>
      <c r="D7" s="6">
        <v>102</v>
      </c>
      <c r="H7" s="6">
        <f>(H5+H6)*1000</f>
        <v>72.2</v>
      </c>
    </row>
    <row r="8" spans="3:8">
      <c r="C8" s="6" t="s">
        <v>218</v>
      </c>
      <c r="D8" s="6">
        <v>5.2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zoomScale="70" zoomScaleNormal="70" workbookViewId="0">
      <selection activeCell="M1" sqref="M1"/>
    </sheetView>
  </sheetViews>
  <sheetFormatPr defaultColWidth="9.140625" defaultRowHeight="16.5"/>
  <cols>
    <col min="1" max="1" width="6.85546875" style="6" bestFit="1" customWidth="1"/>
    <col min="2" max="11" width="6" style="6" customWidth="1"/>
    <col min="12" max="16384" width="9.140625" style="6"/>
  </cols>
  <sheetData>
    <row r="1" spans="1:11">
      <c r="A1" s="9" t="s">
        <v>219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>
      <c r="A2" s="138" t="s">
        <v>220</v>
      </c>
      <c r="B2" s="11">
        <v>5.2</v>
      </c>
      <c r="C2" s="11">
        <v>5.4</v>
      </c>
      <c r="D2" s="11">
        <v>5.5</v>
      </c>
      <c r="E2" s="11">
        <v>5.2</v>
      </c>
      <c r="F2" s="11">
        <v>5.4</v>
      </c>
      <c r="G2" s="11">
        <v>4.8</v>
      </c>
      <c r="H2" s="11">
        <v>5.3</v>
      </c>
      <c r="I2" s="11">
        <v>5.5</v>
      </c>
      <c r="J2" s="11">
        <v>5.2</v>
      </c>
      <c r="K2" s="11">
        <v>4.9000000000000004</v>
      </c>
    </row>
    <row r="3" spans="1:11">
      <c r="A3" s="138"/>
      <c r="B3" s="11">
        <v>5.2</v>
      </c>
      <c r="C3" s="11">
        <v>5.5</v>
      </c>
      <c r="D3" s="11">
        <v>5.3</v>
      </c>
      <c r="E3" s="11">
        <v>5.3</v>
      </c>
      <c r="F3" s="11">
        <v>5.4</v>
      </c>
      <c r="G3" s="11">
        <v>5.0999999999999996</v>
      </c>
      <c r="H3" s="11">
        <v>5.2</v>
      </c>
      <c r="I3" s="11">
        <v>5.3</v>
      </c>
      <c r="J3" s="11">
        <v>5.0999999999999996</v>
      </c>
      <c r="K3" s="11">
        <v>5.0999999999999996</v>
      </c>
    </row>
    <row r="4" spans="1:11">
      <c r="A4" s="138"/>
      <c r="B4" s="11">
        <v>5.6</v>
      </c>
      <c r="C4" s="11">
        <v>5.4</v>
      </c>
      <c r="D4" s="11">
        <v>5.2</v>
      </c>
      <c r="E4" s="11">
        <v>5.3</v>
      </c>
      <c r="F4" s="11">
        <v>5.3</v>
      </c>
      <c r="G4" s="11">
        <v>5.2</v>
      </c>
      <c r="H4" s="11">
        <v>5.3</v>
      </c>
      <c r="I4" s="11">
        <v>5.3</v>
      </c>
      <c r="J4" s="11">
        <v>5.6</v>
      </c>
      <c r="K4" s="11">
        <v>5.3</v>
      </c>
    </row>
    <row r="5" spans="1:11">
      <c r="A5" s="138"/>
      <c r="B5" s="11">
        <v>5.4</v>
      </c>
      <c r="C5" s="11">
        <v>5.6</v>
      </c>
      <c r="D5" s="11">
        <v>5.3</v>
      </c>
      <c r="E5" s="11">
        <v>5</v>
      </c>
      <c r="F5" s="11">
        <v>5.2</v>
      </c>
      <c r="G5" s="11">
        <v>5.2</v>
      </c>
      <c r="H5" s="11">
        <v>5.6</v>
      </c>
      <c r="I5" s="11">
        <v>5.2</v>
      </c>
      <c r="J5" s="11">
        <v>5.2</v>
      </c>
      <c r="K5" s="11">
        <v>5.2</v>
      </c>
    </row>
    <row r="6" spans="1:11">
      <c r="A6" s="138"/>
      <c r="B6" s="11">
        <v>5.3</v>
      </c>
      <c r="C6" s="11">
        <v>5.3</v>
      </c>
      <c r="D6" s="11">
        <v>5.6</v>
      </c>
      <c r="E6" s="11">
        <v>5.0999999999999996</v>
      </c>
      <c r="F6" s="11">
        <v>5.0999999999999996</v>
      </c>
      <c r="G6" s="11">
        <v>5.3</v>
      </c>
      <c r="H6" s="11">
        <v>5.3</v>
      </c>
      <c r="I6" s="11">
        <v>5.4</v>
      </c>
      <c r="J6" s="11">
        <v>5</v>
      </c>
      <c r="K6" s="11">
        <v>5.3</v>
      </c>
    </row>
    <row r="8" spans="1:11">
      <c r="B8" s="6" t="s">
        <v>221</v>
      </c>
    </row>
    <row r="9" spans="1:11">
      <c r="B9" s="6" t="s">
        <v>222</v>
      </c>
    </row>
  </sheetData>
  <mergeCells count="1">
    <mergeCell ref="A2:A6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zoomScale="85" zoomScaleNormal="85" workbookViewId="0">
      <selection activeCell="N9" sqref="N9"/>
    </sheetView>
  </sheetViews>
  <sheetFormatPr defaultColWidth="9.140625" defaultRowHeight="16.5"/>
  <cols>
    <col min="1" max="1" width="9.140625" style="6"/>
    <col min="2" max="11" width="6.7109375" style="6" customWidth="1"/>
    <col min="12" max="16384" width="9.140625" style="6"/>
  </cols>
  <sheetData>
    <row r="1" spans="1:13">
      <c r="A1" s="6" t="s">
        <v>223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M1" s="6" t="s">
        <v>224</v>
      </c>
    </row>
    <row r="2" spans="1:13">
      <c r="B2" s="12">
        <v>13.8</v>
      </c>
      <c r="C2" s="12">
        <v>13.8</v>
      </c>
      <c r="D2" s="12">
        <v>13.8</v>
      </c>
      <c r="E2" s="12">
        <v>13.9</v>
      </c>
      <c r="F2" s="12">
        <v>13.8</v>
      </c>
      <c r="G2" s="12">
        <v>13.9</v>
      </c>
      <c r="H2" s="12">
        <v>13.8</v>
      </c>
      <c r="I2" s="12">
        <v>13.9</v>
      </c>
      <c r="J2" s="12">
        <v>14</v>
      </c>
      <c r="K2" s="12">
        <v>13.8</v>
      </c>
    </row>
    <row r="3" spans="1:13">
      <c r="B3" s="12">
        <v>13.9</v>
      </c>
      <c r="C3" s="12">
        <v>14</v>
      </c>
      <c r="D3" s="12">
        <v>14</v>
      </c>
      <c r="E3" s="12">
        <v>14</v>
      </c>
      <c r="F3" s="12">
        <v>14</v>
      </c>
      <c r="G3" s="12">
        <v>13.9</v>
      </c>
      <c r="H3" s="12">
        <v>14</v>
      </c>
      <c r="I3" s="12">
        <v>13.9</v>
      </c>
      <c r="J3" s="12">
        <v>14</v>
      </c>
      <c r="K3" s="12">
        <v>13.8</v>
      </c>
      <c r="M3" s="6" t="s">
        <v>225</v>
      </c>
    </row>
    <row r="4" spans="1:13">
      <c r="B4" s="12">
        <v>14</v>
      </c>
      <c r="C4" s="12">
        <v>13.8</v>
      </c>
      <c r="D4" s="12">
        <v>13.9</v>
      </c>
      <c r="E4" s="12">
        <v>13.8</v>
      </c>
      <c r="F4" s="12">
        <v>13.9</v>
      </c>
      <c r="G4" s="12">
        <v>14</v>
      </c>
      <c r="H4" s="12">
        <v>14</v>
      </c>
      <c r="I4" s="12">
        <v>13.8</v>
      </c>
      <c r="J4" s="12">
        <v>14</v>
      </c>
      <c r="K4" s="12">
        <v>13.9</v>
      </c>
      <c r="M4" s="6" t="s">
        <v>222</v>
      </c>
    </row>
    <row r="5" spans="1:13">
      <c r="B5" s="12">
        <v>14</v>
      </c>
      <c r="C5" s="12">
        <v>14</v>
      </c>
      <c r="D5" s="12">
        <v>13.9</v>
      </c>
      <c r="E5" s="12">
        <v>13.8</v>
      </c>
      <c r="F5" s="12">
        <v>13.8</v>
      </c>
      <c r="G5" s="12">
        <v>14</v>
      </c>
      <c r="H5" s="12">
        <v>14</v>
      </c>
      <c r="I5" s="12">
        <v>13.9</v>
      </c>
      <c r="J5" s="12">
        <v>13.8</v>
      </c>
      <c r="K5" s="12">
        <v>14</v>
      </c>
      <c r="M5" s="6" t="s">
        <v>226</v>
      </c>
    </row>
    <row r="6" spans="1:13">
      <c r="B6" s="12">
        <v>14</v>
      </c>
      <c r="C6" s="12">
        <v>13.8</v>
      </c>
      <c r="D6" s="12">
        <v>13.8</v>
      </c>
      <c r="E6" s="12">
        <v>14</v>
      </c>
      <c r="F6" s="12">
        <v>13.9</v>
      </c>
      <c r="G6" s="12">
        <v>13.8</v>
      </c>
      <c r="H6" s="12">
        <v>13.9</v>
      </c>
      <c r="I6" s="12">
        <v>14</v>
      </c>
      <c r="J6" s="12">
        <v>14</v>
      </c>
      <c r="K6" s="12">
        <v>13.8</v>
      </c>
      <c r="M6" s="6" t="s">
        <v>227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26"/>
  <sheetViews>
    <sheetView zoomScale="85" zoomScaleNormal="85" workbookViewId="0">
      <pane xSplit="6020" ySplit="1380" topLeftCell="A11" activePane="bottomRight"/>
      <selection pane="bottomRight" activeCell="E17" sqref="E17"/>
      <selection pane="bottomLeft" activeCell="E18" sqref="E18"/>
      <selection pane="topRight" activeCell="H10" sqref="H10"/>
    </sheetView>
  </sheetViews>
  <sheetFormatPr defaultColWidth="9.140625" defaultRowHeight="16.5"/>
  <cols>
    <col min="1" max="10" width="9.140625" style="6"/>
    <col min="11" max="11" width="10" style="6" bestFit="1" customWidth="1"/>
    <col min="12" max="12" width="14.85546875" style="6" bestFit="1" customWidth="1"/>
    <col min="13" max="16384" width="9.140625" style="6"/>
  </cols>
  <sheetData>
    <row r="1" spans="1:20">
      <c r="A1" s="13" t="s">
        <v>228</v>
      </c>
      <c r="B1" s="13"/>
      <c r="C1" s="13"/>
      <c r="D1" s="13"/>
      <c r="E1" s="13"/>
      <c r="F1" s="6" t="s">
        <v>229</v>
      </c>
      <c r="G1" s="6" t="s">
        <v>230</v>
      </c>
      <c r="H1" s="6" t="s">
        <v>231</v>
      </c>
      <c r="I1" s="6" t="s">
        <v>232</v>
      </c>
      <c r="J1" s="6" t="s">
        <v>233</v>
      </c>
      <c r="K1" s="6" t="s">
        <v>234</v>
      </c>
      <c r="L1" s="6" t="s">
        <v>235</v>
      </c>
      <c r="M1" s="6" t="s">
        <v>236</v>
      </c>
    </row>
    <row r="2" spans="1:20">
      <c r="A2" s="13" t="s">
        <v>237</v>
      </c>
      <c r="B2" s="13"/>
      <c r="C2" s="13"/>
      <c r="D2" s="13"/>
      <c r="E2" s="13"/>
      <c r="F2" s="6">
        <v>1</v>
      </c>
      <c r="G2" s="6">
        <v>0.61499999999999999</v>
      </c>
      <c r="H2" s="6">
        <v>0.75</v>
      </c>
      <c r="I2" s="6">
        <v>1.82</v>
      </c>
      <c r="J2" s="6">
        <v>2.13</v>
      </c>
      <c r="K2" s="6">
        <f>J2-I2</f>
        <v>0.30999999999999983</v>
      </c>
      <c r="L2" s="6" t="s">
        <v>116</v>
      </c>
      <c r="M2" s="6" t="s">
        <v>238</v>
      </c>
    </row>
    <row r="3" spans="1:20">
      <c r="A3" s="13" t="s">
        <v>239</v>
      </c>
      <c r="B3" s="13"/>
      <c r="C3" s="13"/>
      <c r="D3" s="13"/>
      <c r="E3" s="13"/>
      <c r="F3" s="6">
        <v>2</v>
      </c>
      <c r="G3" s="6">
        <v>0.10199999999999999</v>
      </c>
      <c r="H3" s="6">
        <v>0.47</v>
      </c>
      <c r="I3" s="6">
        <v>0.21</v>
      </c>
      <c r="J3" s="6">
        <v>1.26</v>
      </c>
      <c r="K3" s="6">
        <f t="shared" ref="K3:K4" si="0">J3-I3</f>
        <v>1.05</v>
      </c>
      <c r="L3" s="6" t="s">
        <v>116</v>
      </c>
      <c r="M3" s="6" t="s">
        <v>238</v>
      </c>
    </row>
    <row r="4" spans="1:20">
      <c r="F4" s="6">
        <v>3</v>
      </c>
      <c r="G4" s="6">
        <v>0.58299999999999996</v>
      </c>
      <c r="H4" s="6">
        <v>0.3</v>
      </c>
      <c r="I4" s="6">
        <v>0.77</v>
      </c>
      <c r="J4" s="6">
        <v>7.91</v>
      </c>
      <c r="K4" s="6">
        <f t="shared" si="0"/>
        <v>7.1400000000000006</v>
      </c>
      <c r="L4" s="6" t="s">
        <v>8</v>
      </c>
      <c r="M4" s="6" t="s">
        <v>240</v>
      </c>
    </row>
    <row r="5" spans="1:20">
      <c r="A5" s="6" t="s">
        <v>241</v>
      </c>
    </row>
    <row r="7" spans="1:20">
      <c r="A7" s="126">
        <v>1</v>
      </c>
      <c r="B7" s="126">
        <v>2</v>
      </c>
      <c r="C7" s="126">
        <v>3</v>
      </c>
      <c r="D7" s="126">
        <v>4</v>
      </c>
      <c r="E7" s="126">
        <v>5</v>
      </c>
      <c r="F7" s="126">
        <v>6</v>
      </c>
      <c r="G7" s="126">
        <v>7</v>
      </c>
      <c r="H7" s="126">
        <v>8</v>
      </c>
      <c r="I7" s="126">
        <v>9</v>
      </c>
      <c r="J7" s="126">
        <v>10</v>
      </c>
      <c r="K7" s="126">
        <v>11</v>
      </c>
      <c r="L7" s="126">
        <v>12</v>
      </c>
      <c r="M7" s="126">
        <v>13</v>
      </c>
      <c r="N7" s="126">
        <v>14</v>
      </c>
      <c r="O7" s="126">
        <v>15</v>
      </c>
      <c r="P7" s="126">
        <v>16</v>
      </c>
      <c r="Q7" s="126">
        <v>17</v>
      </c>
      <c r="R7" s="126">
        <v>18</v>
      </c>
      <c r="S7" s="126">
        <v>19</v>
      </c>
      <c r="T7" s="126">
        <v>20</v>
      </c>
    </row>
    <row r="8" spans="1:20">
      <c r="A8" s="14">
        <v>601.6</v>
      </c>
      <c r="B8" s="14">
        <v>602.79999999999995</v>
      </c>
      <c r="C8" s="14">
        <v>598.4</v>
      </c>
      <c r="D8" s="14">
        <v>598.20000000000005</v>
      </c>
      <c r="E8" s="14">
        <v>600.79999999999995</v>
      </c>
      <c r="F8" s="14">
        <v>600.79999999999995</v>
      </c>
      <c r="G8" s="14">
        <v>600.4</v>
      </c>
      <c r="H8" s="14">
        <v>598.20000000000005</v>
      </c>
      <c r="I8" s="14">
        <v>599.4</v>
      </c>
      <c r="J8" s="14">
        <v>601.20000000000005</v>
      </c>
      <c r="K8" s="14">
        <v>602.20000000000005</v>
      </c>
      <c r="L8" s="14">
        <v>601.6</v>
      </c>
      <c r="M8" s="14">
        <v>599.79999999999995</v>
      </c>
      <c r="N8" s="14">
        <v>603.79999999999995</v>
      </c>
      <c r="O8" s="14">
        <v>600.79999999999995</v>
      </c>
      <c r="P8" s="14">
        <v>598</v>
      </c>
      <c r="Q8" s="14">
        <v>601.6</v>
      </c>
      <c r="R8" s="14">
        <v>602.4</v>
      </c>
      <c r="S8" s="14">
        <v>601.4</v>
      </c>
      <c r="T8" s="14">
        <v>601.20000000000005</v>
      </c>
    </row>
    <row r="9" spans="1:20">
      <c r="A9" s="14">
        <v>600.4</v>
      </c>
      <c r="B9" s="14">
        <v>600.79999999999995</v>
      </c>
      <c r="C9" s="14">
        <v>599.6</v>
      </c>
      <c r="D9" s="14">
        <v>602</v>
      </c>
      <c r="E9" s="14">
        <v>598.6</v>
      </c>
      <c r="F9" s="14">
        <v>597.20000000000005</v>
      </c>
      <c r="G9" s="14">
        <v>598.20000000000005</v>
      </c>
      <c r="H9" s="14">
        <v>599.4</v>
      </c>
      <c r="I9" s="14">
        <v>598</v>
      </c>
      <c r="J9" s="14">
        <v>599</v>
      </c>
      <c r="K9" s="14">
        <v>599.79999999999995</v>
      </c>
      <c r="L9" s="14">
        <v>600.20000000000005</v>
      </c>
      <c r="M9" s="14">
        <v>602.79999999999995</v>
      </c>
      <c r="N9" s="14">
        <v>603.6</v>
      </c>
      <c r="O9" s="14">
        <v>600.20000000000005</v>
      </c>
      <c r="P9" s="14">
        <v>598.4</v>
      </c>
      <c r="Q9" s="14">
        <v>603.4</v>
      </c>
      <c r="R9" s="14">
        <v>602.20000000000005</v>
      </c>
      <c r="S9" s="14">
        <v>599.20000000000005</v>
      </c>
      <c r="T9" s="14">
        <v>604.20000000000005</v>
      </c>
    </row>
    <row r="10" spans="1:20">
      <c r="A10" s="14">
        <v>598.4</v>
      </c>
      <c r="B10" s="14">
        <v>603.6</v>
      </c>
      <c r="C10" s="14">
        <v>603.4</v>
      </c>
      <c r="D10" s="14">
        <v>599.4</v>
      </c>
      <c r="E10" s="14">
        <v>600</v>
      </c>
      <c r="F10" s="14">
        <v>600.4</v>
      </c>
      <c r="G10" s="14">
        <v>598.6</v>
      </c>
      <c r="H10" s="14">
        <v>599.4</v>
      </c>
      <c r="I10" s="14">
        <v>597.6</v>
      </c>
      <c r="J10" s="14">
        <v>600.4</v>
      </c>
      <c r="K10" s="14">
        <v>599.79999999999995</v>
      </c>
      <c r="L10" s="14">
        <v>601.79999999999995</v>
      </c>
      <c r="M10" s="14">
        <v>600</v>
      </c>
      <c r="N10" s="14">
        <v>601.79999999999995</v>
      </c>
      <c r="O10" s="14">
        <v>600.4</v>
      </c>
      <c r="P10" s="14">
        <v>600.79999999999995</v>
      </c>
      <c r="Q10" s="14">
        <v>597</v>
      </c>
      <c r="R10" s="14">
        <v>600.6</v>
      </c>
      <c r="S10" s="14">
        <v>601.6</v>
      </c>
      <c r="T10" s="14">
        <v>600.20000000000005</v>
      </c>
    </row>
    <row r="11" spans="1:20">
      <c r="A11" s="14">
        <v>600</v>
      </c>
      <c r="B11" s="14">
        <v>604.20000000000005</v>
      </c>
      <c r="C11" s="14">
        <v>600.6</v>
      </c>
      <c r="D11" s="14">
        <v>599.4</v>
      </c>
      <c r="E11" s="14">
        <v>600.4</v>
      </c>
      <c r="F11" s="14">
        <v>599.79999999999995</v>
      </c>
      <c r="G11" s="14">
        <v>599.6</v>
      </c>
      <c r="H11" s="14">
        <v>600.20000000000005</v>
      </c>
      <c r="I11" s="14">
        <v>598</v>
      </c>
      <c r="J11" s="14">
        <v>600.6</v>
      </c>
      <c r="K11" s="14">
        <v>601</v>
      </c>
      <c r="L11" s="14">
        <v>601.20000000000005</v>
      </c>
      <c r="M11" s="14">
        <v>599.6</v>
      </c>
      <c r="N11" s="14">
        <v>602</v>
      </c>
      <c r="O11" s="14">
        <v>600.20000000000005</v>
      </c>
      <c r="P11" s="14">
        <v>602.79999999999995</v>
      </c>
      <c r="Q11" s="14">
        <v>599.79999999999995</v>
      </c>
      <c r="R11" s="14">
        <v>596.20000000000005</v>
      </c>
      <c r="S11" s="14">
        <v>600.4</v>
      </c>
      <c r="T11" s="14">
        <v>600</v>
      </c>
    </row>
    <row r="12" spans="1:20">
      <c r="A12" s="14">
        <v>596.79999999999995</v>
      </c>
      <c r="B12" s="14">
        <v>602.4</v>
      </c>
      <c r="C12" s="14">
        <v>598.4</v>
      </c>
      <c r="D12" s="14">
        <v>600.79999999999995</v>
      </c>
      <c r="E12" s="14">
        <v>600.79999999999995</v>
      </c>
      <c r="F12" s="14">
        <v>596.4</v>
      </c>
      <c r="G12" s="14">
        <v>599</v>
      </c>
      <c r="H12" s="14">
        <v>599</v>
      </c>
      <c r="I12" s="14">
        <v>597.6</v>
      </c>
      <c r="J12" s="14">
        <v>599</v>
      </c>
      <c r="K12" s="14">
        <v>601.6</v>
      </c>
      <c r="L12" s="14">
        <v>597.6</v>
      </c>
      <c r="M12" s="14">
        <v>602.20000000000005</v>
      </c>
      <c r="N12" s="14">
        <v>603.6</v>
      </c>
      <c r="O12" s="14">
        <v>602.20000000000005</v>
      </c>
      <c r="P12" s="14">
        <v>597.6</v>
      </c>
      <c r="Q12" s="14">
        <v>597.79999999999995</v>
      </c>
      <c r="R12" s="14">
        <v>602.4</v>
      </c>
      <c r="S12" s="14">
        <v>598</v>
      </c>
      <c r="T12" s="14">
        <v>596.79999999999995</v>
      </c>
    </row>
    <row r="14" spans="1:20">
      <c r="B14" s="6" t="s">
        <v>242</v>
      </c>
      <c r="K14" s="19" t="s">
        <v>243</v>
      </c>
    </row>
    <row r="15" spans="1:20">
      <c r="B15" s="15" t="s">
        <v>244</v>
      </c>
      <c r="C15" s="15" t="s">
        <v>245</v>
      </c>
      <c r="D15" s="15" t="s">
        <v>246</v>
      </c>
      <c r="E15" s="15" t="s">
        <v>247</v>
      </c>
      <c r="F15" s="15" t="s">
        <v>248</v>
      </c>
      <c r="G15" s="15" t="s">
        <v>249</v>
      </c>
      <c r="K15" s="19"/>
      <c r="Q15" s="19"/>
    </row>
    <row r="16" spans="1:20">
      <c r="B16" s="16">
        <v>3.3</v>
      </c>
      <c r="C16" s="16">
        <v>3.91</v>
      </c>
      <c r="D16" s="16">
        <v>-0.1</v>
      </c>
      <c r="E16" s="16">
        <v>-2.4700000000000002</v>
      </c>
      <c r="F16" s="16">
        <v>2.4300000000000002</v>
      </c>
      <c r="G16" s="16">
        <v>-1.92</v>
      </c>
      <c r="K16" s="151" t="s">
        <v>250</v>
      </c>
      <c r="L16" s="151" t="s">
        <v>251</v>
      </c>
      <c r="M16" s="151" t="s">
        <v>252</v>
      </c>
      <c r="N16" s="151" t="s">
        <v>253</v>
      </c>
      <c r="O16" s="151" t="s">
        <v>254</v>
      </c>
      <c r="P16" s="151" t="s">
        <v>255</v>
      </c>
      <c r="Q16" s="19"/>
    </row>
    <row r="17" spans="2:18">
      <c r="B17" s="16">
        <v>1.84</v>
      </c>
      <c r="C17" s="16">
        <v>2.64</v>
      </c>
      <c r="D17" s="16">
        <v>0.04</v>
      </c>
      <c r="E17" s="16">
        <v>-2.23</v>
      </c>
      <c r="F17" s="16">
        <v>3.44</v>
      </c>
      <c r="G17" s="16">
        <v>-4.91</v>
      </c>
      <c r="K17" s="91">
        <v>43694</v>
      </c>
      <c r="L17" s="150">
        <v>6.0659999999999998</v>
      </c>
      <c r="M17" s="150">
        <v>6.0540000000000003</v>
      </c>
      <c r="N17" s="150">
        <v>6.0490000000000004</v>
      </c>
      <c r="O17" s="150">
        <v>6.0789999999999997</v>
      </c>
      <c r="P17" s="150">
        <v>6.06</v>
      </c>
      <c r="Q17" s="19"/>
      <c r="R17" s="19"/>
    </row>
    <row r="18" spans="2:18">
      <c r="B18" s="16">
        <v>1.55</v>
      </c>
      <c r="C18" s="16">
        <v>2.95</v>
      </c>
      <c r="D18" s="16">
        <v>2.04</v>
      </c>
      <c r="E18" s="16">
        <v>-2.92</v>
      </c>
      <c r="F18" s="16">
        <v>0.57999999999999996</v>
      </c>
      <c r="G18" s="16">
        <v>-0.56000000000000005</v>
      </c>
      <c r="K18" s="91">
        <v>43695</v>
      </c>
      <c r="L18" s="150">
        <v>6.0410000000000004</v>
      </c>
      <c r="M18" s="150">
        <v>6.0709999999999997</v>
      </c>
      <c r="N18" s="150">
        <v>6.07</v>
      </c>
      <c r="O18" s="150">
        <v>6.0730000000000004</v>
      </c>
      <c r="P18" s="150">
        <v>6.0739999999999998</v>
      </c>
      <c r="Q18" s="19"/>
      <c r="R18" s="19"/>
    </row>
    <row r="19" spans="2:18">
      <c r="B19" s="16">
        <v>0.97</v>
      </c>
      <c r="C19" s="16">
        <v>1.85</v>
      </c>
      <c r="D19" s="16">
        <v>0.73</v>
      </c>
      <c r="E19" s="16">
        <v>-3.33</v>
      </c>
      <c r="F19" s="16">
        <v>1.9</v>
      </c>
      <c r="G19" s="16">
        <v>-4.26</v>
      </c>
      <c r="K19" s="91">
        <v>43696</v>
      </c>
      <c r="L19" s="150">
        <v>6.05</v>
      </c>
      <c r="M19" s="150">
        <v>6.0720000000000001</v>
      </c>
      <c r="N19" s="150">
        <v>6.0709999999999997</v>
      </c>
      <c r="O19" s="150">
        <v>6.1059999999999999</v>
      </c>
      <c r="P19" s="150">
        <v>6.0570000000000004</v>
      </c>
      <c r="Q19" s="19"/>
      <c r="R19" s="19"/>
    </row>
    <row r="20" spans="2:18">
      <c r="B20" s="16">
        <v>0.68</v>
      </c>
      <c r="C20" s="16">
        <v>2.48</v>
      </c>
      <c r="D20" s="16">
        <v>-2.14</v>
      </c>
      <c r="E20" s="16">
        <v>-0.98</v>
      </c>
      <c r="F20" s="16">
        <v>2.0499999999999998</v>
      </c>
      <c r="G20" s="16">
        <v>-1.98</v>
      </c>
      <c r="K20" s="91">
        <v>43697</v>
      </c>
      <c r="L20" s="150">
        <v>6.0650000000000004</v>
      </c>
      <c r="M20" s="150">
        <v>6.05</v>
      </c>
      <c r="N20" s="150">
        <v>6.08</v>
      </c>
      <c r="O20" s="150">
        <v>6.0640000000000001</v>
      </c>
      <c r="P20" s="150">
        <v>6.0540000000000003</v>
      </c>
      <c r="Q20" s="19"/>
      <c r="R20" s="19"/>
    </row>
    <row r="21" spans="2:18">
      <c r="K21" s="91">
        <v>43698</v>
      </c>
      <c r="L21" s="150">
        <v>6.0439999999999996</v>
      </c>
      <c r="M21" s="150">
        <v>6.0579999999999998</v>
      </c>
      <c r="N21" s="150">
        <v>6.0490000000000004</v>
      </c>
      <c r="O21" s="150">
        <v>6.085</v>
      </c>
      <c r="P21" s="150">
        <v>6.069</v>
      </c>
      <c r="Q21" s="19"/>
      <c r="R21" s="19"/>
    </row>
    <row r="22" spans="2:18">
      <c r="K22" s="91">
        <v>43699</v>
      </c>
      <c r="L22" s="150">
        <v>6.0469999999999997</v>
      </c>
      <c r="M22" s="150">
        <v>6.0720000000000001</v>
      </c>
      <c r="N22" s="150">
        <v>6.0640000000000001</v>
      </c>
      <c r="O22" s="150">
        <v>6.0650000000000004</v>
      </c>
      <c r="P22" s="150">
        <v>6.0590000000000002</v>
      </c>
      <c r="Q22" s="19"/>
      <c r="R22" s="19"/>
    </row>
    <row r="23" spans="2:18">
      <c r="K23" s="91">
        <v>43700</v>
      </c>
      <c r="L23" s="150">
        <v>6.0730000000000004</v>
      </c>
      <c r="M23" s="150">
        <v>6.0570000000000004</v>
      </c>
      <c r="N23" s="150">
        <v>6.07</v>
      </c>
      <c r="O23" s="150">
        <v>6.0679999999999996</v>
      </c>
      <c r="P23" s="150">
        <v>6.0780000000000003</v>
      </c>
      <c r="Q23" s="150"/>
      <c r="R23" s="19"/>
    </row>
    <row r="24" spans="2:18">
      <c r="K24" s="91">
        <v>43701</v>
      </c>
      <c r="L24" s="150">
        <v>6.0839999999999996</v>
      </c>
      <c r="M24" s="150">
        <v>6.0890000000000004</v>
      </c>
      <c r="N24" s="150">
        <v>6.0759999999999996</v>
      </c>
      <c r="O24" s="150">
        <v>6.0789999999999997</v>
      </c>
      <c r="P24" s="150">
        <v>6.0750000000000002</v>
      </c>
      <c r="Q24" s="19"/>
      <c r="R24" s="19"/>
    </row>
    <row r="25" spans="2:18">
      <c r="K25" s="91">
        <v>43702</v>
      </c>
      <c r="L25" s="150">
        <v>6.1059999999999999</v>
      </c>
      <c r="M25" s="150">
        <v>6.0949999999999998</v>
      </c>
      <c r="N25" s="150">
        <v>6.0839999999999996</v>
      </c>
      <c r="O25" s="150">
        <v>6.0819999999999999</v>
      </c>
      <c r="P25" s="150">
        <v>6.0789999999999997</v>
      </c>
      <c r="Q25" s="19"/>
      <c r="R25" s="19"/>
    </row>
    <row r="26" spans="2:18">
      <c r="K26" s="91">
        <v>43703</v>
      </c>
      <c r="L26" s="150">
        <v>6.0739999999999998</v>
      </c>
      <c r="M26" s="150">
        <v>6.0730000000000004</v>
      </c>
      <c r="N26" s="150">
        <v>6.0570000000000004</v>
      </c>
      <c r="O26" s="150">
        <v>6.0650000000000004</v>
      </c>
      <c r="P26" s="150">
        <v>6.0609999999999999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O33"/>
  <sheetViews>
    <sheetView workbookViewId="0">
      <selection activeCell="P17" sqref="P17"/>
    </sheetView>
  </sheetViews>
  <sheetFormatPr defaultColWidth="9.140625" defaultRowHeight="14.45"/>
  <cols>
    <col min="1" max="16384" width="9.140625" style="31"/>
  </cols>
  <sheetData>
    <row r="1" spans="2:15">
      <c r="L1" s="139" t="s">
        <v>256</v>
      </c>
      <c r="M1" s="139"/>
      <c r="N1" s="140" t="s">
        <v>257</v>
      </c>
      <c r="O1" s="141"/>
    </row>
    <row r="2" spans="2:15">
      <c r="B2" s="32" t="s">
        <v>258</v>
      </c>
      <c r="C2" s="33" t="s">
        <v>33</v>
      </c>
      <c r="D2" s="34" t="s">
        <v>35</v>
      </c>
      <c r="E2" s="34" t="s">
        <v>38</v>
      </c>
      <c r="F2" s="34" t="s">
        <v>41</v>
      </c>
      <c r="G2" s="35" t="s">
        <v>44</v>
      </c>
      <c r="H2" s="36" t="s">
        <v>259</v>
      </c>
      <c r="I2" s="36" t="s">
        <v>260</v>
      </c>
      <c r="J2" s="36" t="s">
        <v>261</v>
      </c>
      <c r="K2" s="37" t="s">
        <v>262</v>
      </c>
      <c r="L2" s="36" t="s">
        <v>263</v>
      </c>
      <c r="M2" s="36" t="s">
        <v>264</v>
      </c>
      <c r="N2" s="36" t="s">
        <v>263</v>
      </c>
      <c r="O2" s="36" t="s">
        <v>264</v>
      </c>
    </row>
    <row r="3" spans="2:15">
      <c r="B3" s="38">
        <v>1</v>
      </c>
      <c r="C3" s="39">
        <v>7.74</v>
      </c>
      <c r="D3" s="40">
        <v>7.83</v>
      </c>
      <c r="E3" s="40">
        <v>7.93</v>
      </c>
      <c r="F3" s="40">
        <v>7.8</v>
      </c>
      <c r="G3" s="41">
        <v>7.8</v>
      </c>
      <c r="H3" s="42">
        <f>AVERAGE(C3:G3)</f>
        <v>7.82</v>
      </c>
      <c r="I3" s="42">
        <f>MAX(C3:G3)</f>
        <v>7.93</v>
      </c>
      <c r="J3" s="42">
        <f>MIN(C3:G3)</f>
        <v>7.74</v>
      </c>
      <c r="K3" s="43">
        <f>I3-J3</f>
        <v>0.1899999999999995</v>
      </c>
      <c r="L3" s="44">
        <f>$H$33+0.577*$K$33</f>
        <v>7.8875183333333352</v>
      </c>
      <c r="M3" s="44">
        <f>$H$33-0.577*$K$33</f>
        <v>7.6124816666666684</v>
      </c>
      <c r="N3" s="44">
        <f>2.114*$K$33</f>
        <v>0.50383666666666671</v>
      </c>
      <c r="O3" s="42">
        <v>0</v>
      </c>
    </row>
    <row r="4" spans="2:15">
      <c r="B4" s="38">
        <v>2</v>
      </c>
      <c r="C4" s="39">
        <v>7.88</v>
      </c>
      <c r="D4" s="40">
        <v>7.93</v>
      </c>
      <c r="E4" s="40">
        <v>7.95</v>
      </c>
      <c r="F4" s="40">
        <v>7.74</v>
      </c>
      <c r="G4" s="41">
        <v>7.74</v>
      </c>
      <c r="H4" s="42">
        <f t="shared" ref="H4:H32" si="0">AVERAGE(C4:G4)</f>
        <v>7.8480000000000008</v>
      </c>
      <c r="I4" s="42">
        <f t="shared" ref="I4:I32" si="1">MAX(C4:G4)</f>
        <v>7.95</v>
      </c>
      <c r="J4" s="42">
        <f t="shared" ref="J4:J32" si="2">MIN(C4:G4)</f>
        <v>7.74</v>
      </c>
      <c r="K4" s="43">
        <f t="shared" ref="K4:K32" si="3">I4-J4</f>
        <v>0.20999999999999996</v>
      </c>
      <c r="L4" s="44">
        <f t="shared" ref="L4:L32" si="4">$H$33+0.577*$K$33</f>
        <v>7.8875183333333352</v>
      </c>
      <c r="M4" s="44">
        <f t="shared" ref="M4:M32" si="5">$H$33-0.577*$K$33</f>
        <v>7.6124816666666684</v>
      </c>
      <c r="N4" s="44">
        <f t="shared" ref="N4:N32" si="6">2.114*$K$33</f>
        <v>0.50383666666666671</v>
      </c>
      <c r="O4" s="42">
        <v>1</v>
      </c>
    </row>
    <row r="5" spans="2:15">
      <c r="B5" s="38">
        <v>3</v>
      </c>
      <c r="C5" s="39">
        <v>7.83</v>
      </c>
      <c r="D5" s="40">
        <v>7.9</v>
      </c>
      <c r="E5" s="40">
        <v>7.8</v>
      </c>
      <c r="F5" s="40">
        <v>7.82</v>
      </c>
      <c r="G5" s="41">
        <v>7.82</v>
      </c>
      <c r="H5" s="42">
        <f t="shared" si="0"/>
        <v>7.8340000000000005</v>
      </c>
      <c r="I5" s="42">
        <f t="shared" si="1"/>
        <v>7.9</v>
      </c>
      <c r="J5" s="42">
        <f t="shared" si="2"/>
        <v>7.8</v>
      </c>
      <c r="K5" s="43">
        <f t="shared" si="3"/>
        <v>0.10000000000000053</v>
      </c>
      <c r="L5" s="44">
        <f t="shared" si="4"/>
        <v>7.8875183333333352</v>
      </c>
      <c r="M5" s="44">
        <f t="shared" si="5"/>
        <v>7.6124816666666684</v>
      </c>
      <c r="N5" s="44">
        <f t="shared" si="6"/>
        <v>0.50383666666666671</v>
      </c>
      <c r="O5" s="42">
        <v>2</v>
      </c>
    </row>
    <row r="6" spans="2:15">
      <c r="B6" s="38">
        <v>4</v>
      </c>
      <c r="C6" s="39">
        <v>7.87</v>
      </c>
      <c r="D6" s="40">
        <v>7.8</v>
      </c>
      <c r="E6" s="40">
        <v>7.82</v>
      </c>
      <c r="F6" s="40">
        <v>7.79</v>
      </c>
      <c r="G6" s="41">
        <v>7.79</v>
      </c>
      <c r="H6" s="42">
        <f t="shared" si="0"/>
        <v>7.8140000000000001</v>
      </c>
      <c r="I6" s="42">
        <f t="shared" si="1"/>
        <v>7.87</v>
      </c>
      <c r="J6" s="42">
        <f t="shared" si="2"/>
        <v>7.79</v>
      </c>
      <c r="K6" s="43">
        <f t="shared" si="3"/>
        <v>8.0000000000000071E-2</v>
      </c>
      <c r="L6" s="44">
        <f t="shared" si="4"/>
        <v>7.8875183333333352</v>
      </c>
      <c r="M6" s="44">
        <f t="shared" si="5"/>
        <v>7.6124816666666684</v>
      </c>
      <c r="N6" s="44">
        <f t="shared" si="6"/>
        <v>0.50383666666666671</v>
      </c>
      <c r="O6" s="42">
        <v>3</v>
      </c>
    </row>
    <row r="7" spans="2:15">
      <c r="B7" s="38">
        <v>5</v>
      </c>
      <c r="C7" s="39">
        <v>7.95</v>
      </c>
      <c r="D7" s="40">
        <v>7.55</v>
      </c>
      <c r="E7" s="40">
        <v>7.89</v>
      </c>
      <c r="F7" s="40">
        <v>7.87</v>
      </c>
      <c r="G7" s="41">
        <v>7.8</v>
      </c>
      <c r="H7" s="42">
        <f t="shared" si="0"/>
        <v>7.8120000000000003</v>
      </c>
      <c r="I7" s="42">
        <f t="shared" si="1"/>
        <v>7.95</v>
      </c>
      <c r="J7" s="42">
        <f t="shared" si="2"/>
        <v>7.55</v>
      </c>
      <c r="K7" s="43">
        <f t="shared" si="3"/>
        <v>0.40000000000000036</v>
      </c>
      <c r="L7" s="44">
        <f t="shared" si="4"/>
        <v>7.8875183333333352</v>
      </c>
      <c r="M7" s="44">
        <f t="shared" si="5"/>
        <v>7.6124816666666684</v>
      </c>
      <c r="N7" s="44">
        <f t="shared" si="6"/>
        <v>0.50383666666666671</v>
      </c>
      <c r="O7" s="42">
        <v>4</v>
      </c>
    </row>
    <row r="8" spans="2:15">
      <c r="B8" s="38">
        <v>6</v>
      </c>
      <c r="C8" s="39">
        <v>8.02</v>
      </c>
      <c r="D8" s="40">
        <v>8.0500000000000007</v>
      </c>
      <c r="E8" s="40">
        <v>8.2100000000000009</v>
      </c>
      <c r="F8" s="40">
        <v>7.88</v>
      </c>
      <c r="G8" s="41">
        <v>7.88</v>
      </c>
      <c r="H8" s="42">
        <f t="shared" si="0"/>
        <v>8.0080000000000009</v>
      </c>
      <c r="I8" s="42">
        <f t="shared" si="1"/>
        <v>8.2100000000000009</v>
      </c>
      <c r="J8" s="42">
        <f t="shared" si="2"/>
        <v>7.88</v>
      </c>
      <c r="K8" s="43">
        <f t="shared" si="3"/>
        <v>0.33000000000000096</v>
      </c>
      <c r="L8" s="44">
        <f>$H$33+0.577*$K$33</f>
        <v>7.8875183333333352</v>
      </c>
      <c r="M8" s="44">
        <f t="shared" si="5"/>
        <v>7.6124816666666684</v>
      </c>
      <c r="N8" s="44">
        <f t="shared" si="6"/>
        <v>0.50383666666666671</v>
      </c>
      <c r="O8" s="42">
        <v>5</v>
      </c>
    </row>
    <row r="9" spans="2:15">
      <c r="B9" s="38">
        <v>7</v>
      </c>
      <c r="C9" s="39">
        <v>7.86</v>
      </c>
      <c r="D9" s="40">
        <v>7.59</v>
      </c>
      <c r="E9" s="40">
        <v>7.79</v>
      </c>
      <c r="F9" s="40">
        <v>7.59</v>
      </c>
      <c r="G9" s="41">
        <v>7.59</v>
      </c>
      <c r="H9" s="42">
        <f t="shared" si="0"/>
        <v>7.6840000000000002</v>
      </c>
      <c r="I9" s="42">
        <f t="shared" si="1"/>
        <v>7.86</v>
      </c>
      <c r="J9" s="42">
        <f t="shared" si="2"/>
        <v>7.59</v>
      </c>
      <c r="K9" s="43">
        <f t="shared" si="3"/>
        <v>0.27000000000000046</v>
      </c>
      <c r="L9" s="44">
        <f t="shared" si="4"/>
        <v>7.8875183333333352</v>
      </c>
      <c r="M9" s="44">
        <f t="shared" si="5"/>
        <v>7.6124816666666684</v>
      </c>
      <c r="N9" s="44">
        <f t="shared" si="6"/>
        <v>0.50383666666666671</v>
      </c>
      <c r="O9" s="42">
        <v>6</v>
      </c>
    </row>
    <row r="10" spans="2:15">
      <c r="B10" s="38">
        <v>8</v>
      </c>
      <c r="C10" s="39">
        <v>7.91</v>
      </c>
      <c r="D10" s="40">
        <v>7.87</v>
      </c>
      <c r="E10" s="40">
        <v>7.98</v>
      </c>
      <c r="F10" s="40">
        <v>7.94</v>
      </c>
      <c r="G10" s="41">
        <v>7.94</v>
      </c>
      <c r="H10" s="42">
        <f t="shared" si="0"/>
        <v>7.9279999999999999</v>
      </c>
      <c r="I10" s="42">
        <f t="shared" si="1"/>
        <v>7.98</v>
      </c>
      <c r="J10" s="42">
        <f t="shared" si="2"/>
        <v>7.87</v>
      </c>
      <c r="K10" s="43">
        <f t="shared" si="3"/>
        <v>0.11000000000000032</v>
      </c>
      <c r="L10" s="44">
        <f t="shared" si="4"/>
        <v>7.8875183333333352</v>
      </c>
      <c r="M10" s="44">
        <f t="shared" si="5"/>
        <v>7.6124816666666684</v>
      </c>
      <c r="N10" s="44">
        <f t="shared" si="6"/>
        <v>0.50383666666666671</v>
      </c>
      <c r="O10" s="42">
        <v>7</v>
      </c>
    </row>
    <row r="11" spans="2:15">
      <c r="B11" s="38">
        <v>9</v>
      </c>
      <c r="C11" s="39">
        <v>7.88</v>
      </c>
      <c r="D11" s="40">
        <v>7.79</v>
      </c>
      <c r="E11" s="40">
        <v>7.97</v>
      </c>
      <c r="F11" s="40">
        <v>7.91</v>
      </c>
      <c r="G11" s="41">
        <v>7.91</v>
      </c>
      <c r="H11" s="42">
        <f t="shared" si="0"/>
        <v>7.8920000000000003</v>
      </c>
      <c r="I11" s="42">
        <f t="shared" si="1"/>
        <v>7.97</v>
      </c>
      <c r="J11" s="42">
        <f t="shared" si="2"/>
        <v>7.79</v>
      </c>
      <c r="K11" s="43">
        <f t="shared" si="3"/>
        <v>0.17999999999999972</v>
      </c>
      <c r="L11" s="44">
        <f t="shared" si="4"/>
        <v>7.8875183333333352</v>
      </c>
      <c r="M11" s="44">
        <f t="shared" si="5"/>
        <v>7.6124816666666684</v>
      </c>
      <c r="N11" s="44">
        <f t="shared" si="6"/>
        <v>0.50383666666666671</v>
      </c>
      <c r="O11" s="42">
        <v>8</v>
      </c>
    </row>
    <row r="12" spans="2:15">
      <c r="B12" s="38">
        <v>10</v>
      </c>
      <c r="C12" s="39">
        <v>7.49</v>
      </c>
      <c r="D12" s="40">
        <v>7.37</v>
      </c>
      <c r="E12" s="40">
        <v>7.57</v>
      </c>
      <c r="F12" s="40">
        <v>7.4</v>
      </c>
      <c r="G12" s="41">
        <v>7.97</v>
      </c>
      <c r="H12" s="42">
        <f t="shared" si="0"/>
        <v>7.56</v>
      </c>
      <c r="I12" s="42">
        <f t="shared" si="1"/>
        <v>7.97</v>
      </c>
      <c r="J12" s="42">
        <f t="shared" si="2"/>
        <v>7.37</v>
      </c>
      <c r="K12" s="43">
        <f t="shared" si="3"/>
        <v>0.59999999999999964</v>
      </c>
      <c r="L12" s="44">
        <f t="shared" si="4"/>
        <v>7.8875183333333352</v>
      </c>
      <c r="M12" s="44">
        <f t="shared" si="5"/>
        <v>7.6124816666666684</v>
      </c>
      <c r="N12" s="44">
        <f t="shared" si="6"/>
        <v>0.50383666666666671</v>
      </c>
      <c r="O12" s="42">
        <v>9</v>
      </c>
    </row>
    <row r="13" spans="2:15">
      <c r="B13" s="38">
        <v>11</v>
      </c>
      <c r="C13" s="39">
        <v>7.84</v>
      </c>
      <c r="D13" s="40">
        <v>7.96</v>
      </c>
      <c r="E13" s="40">
        <v>7.9</v>
      </c>
      <c r="F13" s="40">
        <v>7.8</v>
      </c>
      <c r="G13" s="41">
        <v>7.8</v>
      </c>
      <c r="H13" s="42">
        <f t="shared" si="0"/>
        <v>7.8600000000000012</v>
      </c>
      <c r="I13" s="42">
        <f t="shared" si="1"/>
        <v>7.96</v>
      </c>
      <c r="J13" s="42">
        <f t="shared" si="2"/>
        <v>7.8</v>
      </c>
      <c r="K13" s="43">
        <f t="shared" si="3"/>
        <v>0.16000000000000014</v>
      </c>
      <c r="L13" s="44">
        <f t="shared" si="4"/>
        <v>7.8875183333333352</v>
      </c>
      <c r="M13" s="44">
        <f t="shared" si="5"/>
        <v>7.6124816666666684</v>
      </c>
      <c r="N13" s="44">
        <f t="shared" si="6"/>
        <v>0.50383666666666671</v>
      </c>
      <c r="O13" s="42">
        <v>10</v>
      </c>
    </row>
    <row r="14" spans="2:15">
      <c r="B14" s="38">
        <v>12</v>
      </c>
      <c r="C14" s="39">
        <v>7.91</v>
      </c>
      <c r="D14" s="40">
        <v>7.97</v>
      </c>
      <c r="E14" s="40">
        <v>7.86</v>
      </c>
      <c r="F14" s="40">
        <v>7.74</v>
      </c>
      <c r="G14" s="41">
        <v>7.74</v>
      </c>
      <c r="H14" s="42">
        <f t="shared" si="0"/>
        <v>7.8439999999999994</v>
      </c>
      <c r="I14" s="42">
        <f t="shared" si="1"/>
        <v>7.97</v>
      </c>
      <c r="J14" s="42">
        <f t="shared" si="2"/>
        <v>7.74</v>
      </c>
      <c r="K14" s="43">
        <f t="shared" si="3"/>
        <v>0.22999999999999954</v>
      </c>
      <c r="L14" s="44">
        <f t="shared" si="4"/>
        <v>7.8875183333333352</v>
      </c>
      <c r="M14" s="44">
        <f t="shared" si="5"/>
        <v>7.6124816666666684</v>
      </c>
      <c r="N14" s="44">
        <f t="shared" si="6"/>
        <v>0.50383666666666671</v>
      </c>
      <c r="O14" s="42">
        <v>11</v>
      </c>
    </row>
    <row r="15" spans="2:15">
      <c r="B15" s="38">
        <v>13</v>
      </c>
      <c r="C15" s="39">
        <v>7.74</v>
      </c>
      <c r="D15" s="40">
        <v>7.91</v>
      </c>
      <c r="E15" s="40">
        <v>7.87</v>
      </c>
      <c r="F15" s="40">
        <v>7.82</v>
      </c>
      <c r="G15" s="41">
        <v>7.89</v>
      </c>
      <c r="H15" s="42">
        <f t="shared" si="0"/>
        <v>7.8459999999999992</v>
      </c>
      <c r="I15" s="42">
        <f t="shared" si="1"/>
        <v>7.91</v>
      </c>
      <c r="J15" s="42">
        <f t="shared" si="2"/>
        <v>7.74</v>
      </c>
      <c r="K15" s="43">
        <f t="shared" si="3"/>
        <v>0.16999999999999993</v>
      </c>
      <c r="L15" s="44">
        <f t="shared" si="4"/>
        <v>7.8875183333333352</v>
      </c>
      <c r="M15" s="44">
        <f t="shared" si="5"/>
        <v>7.6124816666666684</v>
      </c>
      <c r="N15" s="44">
        <f t="shared" si="6"/>
        <v>0.50383666666666671</v>
      </c>
      <c r="O15" s="42">
        <v>12</v>
      </c>
    </row>
    <row r="16" spans="2:15">
      <c r="B16" s="38">
        <v>14</v>
      </c>
      <c r="C16" s="39">
        <v>7.93</v>
      </c>
      <c r="D16" s="40">
        <v>8.23</v>
      </c>
      <c r="E16" s="40">
        <v>8.25</v>
      </c>
      <c r="F16" s="40">
        <v>7.79</v>
      </c>
      <c r="G16" s="41">
        <v>7.74</v>
      </c>
      <c r="H16" s="42">
        <f t="shared" si="0"/>
        <v>7.9880000000000013</v>
      </c>
      <c r="I16" s="42">
        <f t="shared" si="1"/>
        <v>8.25</v>
      </c>
      <c r="J16" s="42">
        <f t="shared" si="2"/>
        <v>7.74</v>
      </c>
      <c r="K16" s="43">
        <f t="shared" si="3"/>
        <v>0.50999999999999979</v>
      </c>
      <c r="L16" s="44">
        <f t="shared" si="4"/>
        <v>7.8875183333333352</v>
      </c>
      <c r="M16" s="44">
        <f t="shared" si="5"/>
        <v>7.6124816666666684</v>
      </c>
      <c r="N16" s="44">
        <f t="shared" si="6"/>
        <v>0.50383666666666671</v>
      </c>
      <c r="O16" s="42">
        <v>13</v>
      </c>
    </row>
    <row r="17" spans="2:15">
      <c r="B17" s="38">
        <v>15</v>
      </c>
      <c r="C17" s="39">
        <v>8.02</v>
      </c>
      <c r="D17" s="40">
        <v>7.95</v>
      </c>
      <c r="E17" s="40">
        <v>8.15</v>
      </c>
      <c r="F17" s="40">
        <v>8.17</v>
      </c>
      <c r="G17" s="41">
        <v>7.98</v>
      </c>
      <c r="H17" s="42">
        <f t="shared" si="0"/>
        <v>8.0539999999999985</v>
      </c>
      <c r="I17" s="42">
        <f t="shared" si="1"/>
        <v>8.17</v>
      </c>
      <c r="J17" s="42">
        <f t="shared" si="2"/>
        <v>7.95</v>
      </c>
      <c r="K17" s="43">
        <f t="shared" si="3"/>
        <v>0.21999999999999975</v>
      </c>
      <c r="L17" s="44">
        <f t="shared" si="4"/>
        <v>7.8875183333333352</v>
      </c>
      <c r="M17" s="44">
        <f t="shared" si="5"/>
        <v>7.6124816666666684</v>
      </c>
      <c r="N17" s="44">
        <f t="shared" si="6"/>
        <v>0.50383666666666671</v>
      </c>
      <c r="O17" s="42">
        <v>14</v>
      </c>
    </row>
    <row r="18" spans="2:15">
      <c r="B18" s="38">
        <v>16</v>
      </c>
      <c r="C18" s="39">
        <v>7.82</v>
      </c>
      <c r="D18" s="40">
        <v>7.92</v>
      </c>
      <c r="E18" s="40">
        <v>7.94</v>
      </c>
      <c r="F18" s="40">
        <v>7.82</v>
      </c>
      <c r="G18" s="41">
        <v>8.1999999999999993</v>
      </c>
      <c r="H18" s="42">
        <f t="shared" si="0"/>
        <v>7.94</v>
      </c>
      <c r="I18" s="42">
        <f t="shared" si="1"/>
        <v>8.1999999999999993</v>
      </c>
      <c r="J18" s="42">
        <f t="shared" si="2"/>
        <v>7.82</v>
      </c>
      <c r="K18" s="43">
        <f t="shared" si="3"/>
        <v>0.37999999999999901</v>
      </c>
      <c r="L18" s="44">
        <f t="shared" si="4"/>
        <v>7.8875183333333352</v>
      </c>
      <c r="M18" s="44">
        <f t="shared" si="5"/>
        <v>7.6124816666666684</v>
      </c>
      <c r="N18" s="44">
        <f t="shared" si="6"/>
        <v>0.50383666666666671</v>
      </c>
      <c r="O18" s="42">
        <v>15</v>
      </c>
    </row>
    <row r="19" spans="2:15">
      <c r="B19" s="38">
        <v>17</v>
      </c>
      <c r="C19" s="39">
        <v>8.01</v>
      </c>
      <c r="D19" s="40">
        <v>7.9</v>
      </c>
      <c r="E19" s="40">
        <v>7.95</v>
      </c>
      <c r="F19" s="40">
        <v>7.79</v>
      </c>
      <c r="G19" s="41">
        <v>7.34</v>
      </c>
      <c r="H19" s="42">
        <f t="shared" si="0"/>
        <v>7.7979999999999992</v>
      </c>
      <c r="I19" s="42">
        <f t="shared" si="1"/>
        <v>8.01</v>
      </c>
      <c r="J19" s="42">
        <f t="shared" si="2"/>
        <v>7.34</v>
      </c>
      <c r="K19" s="43">
        <f t="shared" si="3"/>
        <v>0.66999999999999993</v>
      </c>
      <c r="L19" s="44">
        <f t="shared" si="4"/>
        <v>7.8875183333333352</v>
      </c>
      <c r="M19" s="44">
        <f t="shared" si="5"/>
        <v>7.6124816666666684</v>
      </c>
      <c r="N19" s="44">
        <f t="shared" si="6"/>
        <v>0.50383666666666671</v>
      </c>
      <c r="O19" s="42">
        <v>16</v>
      </c>
    </row>
    <row r="20" spans="2:15">
      <c r="B20" s="38">
        <v>18</v>
      </c>
      <c r="C20" s="39">
        <v>7.91</v>
      </c>
      <c r="D20" s="40">
        <v>7.96</v>
      </c>
      <c r="E20" s="40">
        <v>7.91</v>
      </c>
      <c r="F20" s="40">
        <v>7.87</v>
      </c>
      <c r="G20" s="41">
        <v>7.91</v>
      </c>
      <c r="H20" s="42">
        <f t="shared" si="0"/>
        <v>7.9120000000000008</v>
      </c>
      <c r="I20" s="42">
        <f t="shared" si="1"/>
        <v>7.96</v>
      </c>
      <c r="J20" s="42">
        <f t="shared" si="2"/>
        <v>7.87</v>
      </c>
      <c r="K20" s="43">
        <f t="shared" si="3"/>
        <v>8.9999999999999858E-2</v>
      </c>
      <c r="L20" s="44">
        <f t="shared" si="4"/>
        <v>7.8875183333333352</v>
      </c>
      <c r="M20" s="44">
        <f t="shared" si="5"/>
        <v>7.6124816666666684</v>
      </c>
      <c r="N20" s="44">
        <f t="shared" si="6"/>
        <v>0.50383666666666671</v>
      </c>
      <c r="O20" s="42">
        <v>17</v>
      </c>
    </row>
    <row r="21" spans="2:15">
      <c r="B21" s="38">
        <v>19</v>
      </c>
      <c r="C21" s="39">
        <v>7.71</v>
      </c>
      <c r="D21" s="40">
        <v>7.78</v>
      </c>
      <c r="E21" s="40">
        <v>7.83</v>
      </c>
      <c r="F21" s="40">
        <v>7.79</v>
      </c>
      <c r="G21" s="41">
        <v>7.79</v>
      </c>
      <c r="H21" s="42">
        <f t="shared" si="0"/>
        <v>7.7799999999999994</v>
      </c>
      <c r="I21" s="42">
        <f t="shared" si="1"/>
        <v>7.83</v>
      </c>
      <c r="J21" s="42">
        <f t="shared" si="2"/>
        <v>7.71</v>
      </c>
      <c r="K21" s="43">
        <f t="shared" si="3"/>
        <v>0.12000000000000011</v>
      </c>
      <c r="L21" s="44">
        <f t="shared" si="4"/>
        <v>7.8875183333333352</v>
      </c>
      <c r="M21" s="44">
        <f t="shared" si="5"/>
        <v>7.6124816666666684</v>
      </c>
      <c r="N21" s="44">
        <f t="shared" si="6"/>
        <v>0.50383666666666671</v>
      </c>
      <c r="O21" s="42">
        <v>18</v>
      </c>
    </row>
    <row r="22" spans="2:15">
      <c r="B22" s="38">
        <v>20</v>
      </c>
      <c r="C22" s="39">
        <v>7.64</v>
      </c>
      <c r="D22" s="40">
        <v>7.7</v>
      </c>
      <c r="E22" s="40">
        <v>7.86</v>
      </c>
      <c r="F22" s="40">
        <v>7.79</v>
      </c>
      <c r="G22" s="41">
        <v>7.79</v>
      </c>
      <c r="H22" s="42">
        <f t="shared" si="0"/>
        <v>7.7560000000000002</v>
      </c>
      <c r="I22" s="42">
        <f t="shared" si="1"/>
        <v>7.86</v>
      </c>
      <c r="J22" s="42">
        <f t="shared" si="2"/>
        <v>7.64</v>
      </c>
      <c r="K22" s="43">
        <f t="shared" si="3"/>
        <v>0.22000000000000064</v>
      </c>
      <c r="L22" s="44">
        <f t="shared" si="4"/>
        <v>7.8875183333333352</v>
      </c>
      <c r="M22" s="44">
        <f t="shared" si="5"/>
        <v>7.6124816666666684</v>
      </c>
      <c r="N22" s="44">
        <f t="shared" si="6"/>
        <v>0.50383666666666671</v>
      </c>
      <c r="O22" s="42">
        <v>19</v>
      </c>
    </row>
    <row r="23" spans="2:15">
      <c r="B23" s="38">
        <v>21</v>
      </c>
      <c r="C23" s="39">
        <v>7.72</v>
      </c>
      <c r="D23" s="40">
        <v>7.62</v>
      </c>
      <c r="E23" s="40">
        <v>7.57</v>
      </c>
      <c r="F23" s="40">
        <v>7.78</v>
      </c>
      <c r="G23" s="41">
        <v>7.48</v>
      </c>
      <c r="H23" s="42">
        <f t="shared" si="0"/>
        <v>7.6340000000000003</v>
      </c>
      <c r="I23" s="42">
        <f t="shared" si="1"/>
        <v>7.78</v>
      </c>
      <c r="J23" s="42">
        <f t="shared" si="2"/>
        <v>7.48</v>
      </c>
      <c r="K23" s="43">
        <f t="shared" si="3"/>
        <v>0.29999999999999982</v>
      </c>
      <c r="L23" s="44">
        <f t="shared" si="4"/>
        <v>7.8875183333333352</v>
      </c>
      <c r="M23" s="44">
        <f t="shared" si="5"/>
        <v>7.6124816666666684</v>
      </c>
      <c r="N23" s="44">
        <f t="shared" si="6"/>
        <v>0.50383666666666671</v>
      </c>
      <c r="O23" s="42">
        <v>20</v>
      </c>
    </row>
    <row r="24" spans="2:15">
      <c r="B24" s="38">
        <v>22</v>
      </c>
      <c r="C24" s="39">
        <v>7.29</v>
      </c>
      <c r="D24" s="40">
        <v>7.35</v>
      </c>
      <c r="E24" s="40">
        <v>7.38</v>
      </c>
      <c r="F24" s="40">
        <v>7.4</v>
      </c>
      <c r="G24" s="41">
        <v>7.4</v>
      </c>
      <c r="H24" s="42">
        <f t="shared" si="0"/>
        <v>7.3639999999999999</v>
      </c>
      <c r="I24" s="42">
        <f t="shared" si="1"/>
        <v>7.4</v>
      </c>
      <c r="J24" s="42">
        <f t="shared" si="2"/>
        <v>7.29</v>
      </c>
      <c r="K24" s="43">
        <f t="shared" si="3"/>
        <v>0.11000000000000032</v>
      </c>
      <c r="L24" s="44">
        <f t="shared" si="4"/>
        <v>7.8875183333333352</v>
      </c>
      <c r="M24" s="44">
        <f t="shared" si="5"/>
        <v>7.6124816666666684</v>
      </c>
      <c r="N24" s="44">
        <f t="shared" si="6"/>
        <v>0.50383666666666671</v>
      </c>
      <c r="O24" s="42">
        <v>21</v>
      </c>
    </row>
    <row r="25" spans="2:15">
      <c r="B25" s="38">
        <v>23</v>
      </c>
      <c r="C25" s="39">
        <v>7.89</v>
      </c>
      <c r="D25" s="40">
        <v>7.93</v>
      </c>
      <c r="E25" s="40">
        <v>7.48</v>
      </c>
      <c r="F25" s="40">
        <v>7.9</v>
      </c>
      <c r="G25" s="41">
        <v>7.98</v>
      </c>
      <c r="H25" s="42">
        <f t="shared" si="0"/>
        <v>7.8360000000000012</v>
      </c>
      <c r="I25" s="42">
        <f t="shared" si="1"/>
        <v>7.98</v>
      </c>
      <c r="J25" s="42">
        <f t="shared" si="2"/>
        <v>7.48</v>
      </c>
      <c r="K25" s="43">
        <f t="shared" si="3"/>
        <v>0.5</v>
      </c>
      <c r="L25" s="44">
        <f t="shared" si="4"/>
        <v>7.8875183333333352</v>
      </c>
      <c r="M25" s="44">
        <f t="shared" si="5"/>
        <v>7.6124816666666684</v>
      </c>
      <c r="N25" s="44">
        <f t="shared" si="6"/>
        <v>0.50383666666666671</v>
      </c>
      <c r="O25" s="42">
        <v>22</v>
      </c>
    </row>
    <row r="26" spans="2:15">
      <c r="B26" s="38">
        <v>24</v>
      </c>
      <c r="C26" s="39">
        <v>7.29</v>
      </c>
      <c r="D26" s="40">
        <v>7.44</v>
      </c>
      <c r="E26" s="40">
        <v>7.33</v>
      </c>
      <c r="F26" s="40">
        <v>7.4</v>
      </c>
      <c r="G26" s="41">
        <v>7.45</v>
      </c>
      <c r="H26" s="42">
        <f t="shared" si="0"/>
        <v>7.3820000000000006</v>
      </c>
      <c r="I26" s="42">
        <f t="shared" si="1"/>
        <v>7.45</v>
      </c>
      <c r="J26" s="42">
        <f t="shared" si="2"/>
        <v>7.29</v>
      </c>
      <c r="K26" s="43">
        <f t="shared" si="3"/>
        <v>0.16000000000000014</v>
      </c>
      <c r="L26" s="44">
        <f t="shared" si="4"/>
        <v>7.8875183333333352</v>
      </c>
      <c r="M26" s="44">
        <f t="shared" si="5"/>
        <v>7.6124816666666684</v>
      </c>
      <c r="N26" s="44">
        <f t="shared" si="6"/>
        <v>0.50383666666666671</v>
      </c>
      <c r="O26" s="42">
        <v>23</v>
      </c>
    </row>
    <row r="27" spans="2:15">
      <c r="B27" s="38">
        <v>25</v>
      </c>
      <c r="C27" s="39">
        <v>8.01</v>
      </c>
      <c r="D27" s="40">
        <v>7.88</v>
      </c>
      <c r="E27" s="40">
        <v>7.95</v>
      </c>
      <c r="F27" s="40">
        <v>7.95</v>
      </c>
      <c r="G27" s="41">
        <v>7.95</v>
      </c>
      <c r="H27" s="42">
        <f t="shared" si="0"/>
        <v>7.9480000000000004</v>
      </c>
      <c r="I27" s="42">
        <f t="shared" si="1"/>
        <v>8.01</v>
      </c>
      <c r="J27" s="42">
        <f t="shared" si="2"/>
        <v>7.88</v>
      </c>
      <c r="K27" s="43">
        <f t="shared" si="3"/>
        <v>0.12999999999999989</v>
      </c>
      <c r="L27" s="44">
        <f t="shared" si="4"/>
        <v>7.8875183333333352</v>
      </c>
      <c r="M27" s="44">
        <f t="shared" si="5"/>
        <v>7.6124816666666684</v>
      </c>
      <c r="N27" s="44">
        <f t="shared" si="6"/>
        <v>0.50383666666666671</v>
      </c>
      <c r="O27" s="42">
        <v>24</v>
      </c>
    </row>
    <row r="28" spans="2:15">
      <c r="B28" s="38">
        <v>26</v>
      </c>
      <c r="C28" s="39">
        <v>7.53</v>
      </c>
      <c r="D28" s="40">
        <v>7.63</v>
      </c>
      <c r="E28" s="40">
        <v>7.55</v>
      </c>
      <c r="F28" s="40">
        <v>7.52</v>
      </c>
      <c r="G28" s="41">
        <v>7.52</v>
      </c>
      <c r="H28" s="42">
        <f t="shared" si="0"/>
        <v>7.55</v>
      </c>
      <c r="I28" s="42">
        <f t="shared" si="1"/>
        <v>7.63</v>
      </c>
      <c r="J28" s="42">
        <f t="shared" si="2"/>
        <v>7.52</v>
      </c>
      <c r="K28" s="43">
        <f t="shared" si="3"/>
        <v>0.11000000000000032</v>
      </c>
      <c r="L28" s="44">
        <f t="shared" si="4"/>
        <v>7.8875183333333352</v>
      </c>
      <c r="M28" s="44">
        <f t="shared" si="5"/>
        <v>7.6124816666666684</v>
      </c>
      <c r="N28" s="44">
        <f t="shared" si="6"/>
        <v>0.50383666666666671</v>
      </c>
      <c r="O28" s="42">
        <v>25</v>
      </c>
    </row>
    <row r="29" spans="2:15">
      <c r="B29" s="38">
        <v>27</v>
      </c>
      <c r="C29" s="39">
        <v>7.38</v>
      </c>
      <c r="D29" s="40">
        <v>7.42</v>
      </c>
      <c r="E29" s="40">
        <v>7.4</v>
      </c>
      <c r="F29" s="40">
        <v>7.4</v>
      </c>
      <c r="G29" s="41">
        <v>7.4</v>
      </c>
      <c r="H29" s="42">
        <f t="shared" si="0"/>
        <v>7.4</v>
      </c>
      <c r="I29" s="42">
        <f t="shared" si="1"/>
        <v>7.42</v>
      </c>
      <c r="J29" s="42">
        <f t="shared" si="2"/>
        <v>7.38</v>
      </c>
      <c r="K29" s="43">
        <f t="shared" si="3"/>
        <v>4.0000000000000036E-2</v>
      </c>
      <c r="L29" s="44">
        <f t="shared" si="4"/>
        <v>7.8875183333333352</v>
      </c>
      <c r="M29" s="44">
        <f t="shared" si="5"/>
        <v>7.6124816666666684</v>
      </c>
      <c r="N29" s="44">
        <f t="shared" si="6"/>
        <v>0.50383666666666671</v>
      </c>
      <c r="O29" s="42">
        <v>26</v>
      </c>
    </row>
    <row r="30" spans="2:15">
      <c r="B30" s="38">
        <v>28</v>
      </c>
      <c r="C30" s="39">
        <v>7.39</v>
      </c>
      <c r="D30" s="40">
        <v>7.35</v>
      </c>
      <c r="E30" s="40">
        <v>7.6</v>
      </c>
      <c r="F30" s="40">
        <v>7.54</v>
      </c>
      <c r="G30" s="41">
        <v>7.54</v>
      </c>
      <c r="H30" s="42">
        <f t="shared" si="0"/>
        <v>7.4839999999999991</v>
      </c>
      <c r="I30" s="42">
        <f t="shared" si="1"/>
        <v>7.6</v>
      </c>
      <c r="J30" s="42">
        <f t="shared" si="2"/>
        <v>7.35</v>
      </c>
      <c r="K30" s="43">
        <f t="shared" si="3"/>
        <v>0.25</v>
      </c>
      <c r="L30" s="44">
        <f t="shared" si="4"/>
        <v>7.8875183333333352</v>
      </c>
      <c r="M30" s="44">
        <f t="shared" si="5"/>
        <v>7.6124816666666684</v>
      </c>
      <c r="N30" s="44">
        <f t="shared" si="6"/>
        <v>0.50383666666666671</v>
      </c>
      <c r="O30" s="42">
        <v>27</v>
      </c>
    </row>
    <row r="31" spans="2:15">
      <c r="B31" s="38">
        <v>29</v>
      </c>
      <c r="C31" s="39">
        <v>7.39</v>
      </c>
      <c r="D31" s="40">
        <v>7.28</v>
      </c>
      <c r="E31" s="40">
        <v>7.4</v>
      </c>
      <c r="F31" s="40">
        <v>7.38</v>
      </c>
      <c r="G31" s="41">
        <v>7.38</v>
      </c>
      <c r="H31" s="42">
        <f t="shared" si="0"/>
        <v>7.3659999999999997</v>
      </c>
      <c r="I31" s="42">
        <f t="shared" si="1"/>
        <v>7.4</v>
      </c>
      <c r="J31" s="42">
        <f t="shared" si="2"/>
        <v>7.28</v>
      </c>
      <c r="K31" s="43">
        <f t="shared" si="3"/>
        <v>0.12000000000000011</v>
      </c>
      <c r="L31" s="44">
        <f t="shared" si="4"/>
        <v>7.8875183333333352</v>
      </c>
      <c r="M31" s="44">
        <f t="shared" si="5"/>
        <v>7.6124816666666684</v>
      </c>
      <c r="N31" s="44">
        <f t="shared" si="6"/>
        <v>0.50383666666666671</v>
      </c>
      <c r="O31" s="42">
        <v>28</v>
      </c>
    </row>
    <row r="32" spans="2:15">
      <c r="B32" s="38">
        <v>30</v>
      </c>
      <c r="C32" s="39">
        <v>7.46</v>
      </c>
      <c r="D32" s="40">
        <v>7.65</v>
      </c>
      <c r="E32" s="40">
        <v>7.58</v>
      </c>
      <c r="F32" s="40">
        <v>7.55</v>
      </c>
      <c r="G32" s="45">
        <v>7.55</v>
      </c>
      <c r="H32" s="46">
        <f t="shared" si="0"/>
        <v>7.5579999999999998</v>
      </c>
      <c r="I32" s="46">
        <f t="shared" si="1"/>
        <v>7.65</v>
      </c>
      <c r="J32" s="46">
        <f t="shared" si="2"/>
        <v>7.46</v>
      </c>
      <c r="K32" s="47">
        <f t="shared" si="3"/>
        <v>0.19000000000000039</v>
      </c>
      <c r="L32" s="44">
        <f t="shared" si="4"/>
        <v>7.8875183333333352</v>
      </c>
      <c r="M32" s="44">
        <f t="shared" si="5"/>
        <v>7.6124816666666684</v>
      </c>
      <c r="N32" s="44">
        <f t="shared" si="6"/>
        <v>0.50383666666666671</v>
      </c>
      <c r="O32" s="42">
        <v>29</v>
      </c>
    </row>
    <row r="33" spans="7:11">
      <c r="G33" s="48" t="s">
        <v>259</v>
      </c>
      <c r="H33" s="48">
        <f>AVERAGE(H3:H32)</f>
        <v>7.7500000000000018</v>
      </c>
      <c r="I33" s="48"/>
      <c r="J33" s="48"/>
      <c r="K33" s="48">
        <f>AVERAGE(K3:K32)</f>
        <v>0.23833333333333337</v>
      </c>
    </row>
  </sheetData>
  <mergeCells count="2">
    <mergeCell ref="L1:M1"/>
    <mergeCell ref="N1:O1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6"/>
  <sheetViews>
    <sheetView workbookViewId="0">
      <selection activeCell="O6" sqref="O6"/>
    </sheetView>
  </sheetViews>
  <sheetFormatPr defaultColWidth="9.140625" defaultRowHeight="14.45"/>
  <cols>
    <col min="1" max="16384" width="9.140625" style="31"/>
  </cols>
  <sheetData>
    <row r="1" spans="1:17">
      <c r="A1" s="31" t="s">
        <v>265</v>
      </c>
    </row>
    <row r="2" spans="1:17" s="49" customFormat="1" ht="29.1">
      <c r="B2" s="50" t="s">
        <v>266</v>
      </c>
      <c r="C2" s="51" t="s">
        <v>267</v>
      </c>
      <c r="D2" s="51" t="s">
        <v>268</v>
      </c>
      <c r="E2" s="51" t="s">
        <v>269</v>
      </c>
      <c r="F2" s="51" t="s">
        <v>270</v>
      </c>
      <c r="G2" s="51" t="s">
        <v>271</v>
      </c>
      <c r="H2" s="51" t="s">
        <v>272</v>
      </c>
      <c r="I2" s="51" t="s">
        <v>273</v>
      </c>
      <c r="J2" s="51" t="s">
        <v>274</v>
      </c>
      <c r="K2" s="51" t="s">
        <v>275</v>
      </c>
      <c r="L2" s="51" t="s">
        <v>276</v>
      </c>
      <c r="M2" s="51" t="s">
        <v>277</v>
      </c>
      <c r="N2" s="51" t="s">
        <v>278</v>
      </c>
      <c r="O2" s="51" t="s">
        <v>279</v>
      </c>
      <c r="P2" s="51" t="s">
        <v>280</v>
      </c>
      <c r="Q2" s="51" t="s">
        <v>281</v>
      </c>
    </row>
    <row r="3" spans="1:17" ht="15" thickBot="1">
      <c r="B3" s="52">
        <v>2</v>
      </c>
      <c r="C3" s="53">
        <v>2.121</v>
      </c>
      <c r="D3" s="53">
        <v>1.88</v>
      </c>
      <c r="E3" s="53">
        <v>2.6589999999999998</v>
      </c>
      <c r="F3" s="53" t="s">
        <v>282</v>
      </c>
      <c r="G3" s="53">
        <v>3.2669999999999999</v>
      </c>
      <c r="H3" s="53" t="s">
        <v>282</v>
      </c>
      <c r="I3" s="53">
        <v>2.6059999999999999</v>
      </c>
      <c r="J3" s="53" t="s">
        <v>282</v>
      </c>
      <c r="K3" s="53">
        <v>3.6859999999999999</v>
      </c>
      <c r="L3" s="53" t="s">
        <v>282</v>
      </c>
      <c r="M3" s="53">
        <v>3.2669999999999999</v>
      </c>
      <c r="N3" s="53">
        <v>0.79790000000000005</v>
      </c>
      <c r="O3" s="53">
        <v>1.2533000000000001</v>
      </c>
      <c r="P3" s="53">
        <v>1.1279999999999999</v>
      </c>
      <c r="Q3" s="53">
        <v>0.88649999999999995</v>
      </c>
    </row>
    <row r="4" spans="1:17" ht="15" thickBot="1">
      <c r="B4" s="54">
        <v>3</v>
      </c>
      <c r="C4" s="55">
        <v>1.732</v>
      </c>
      <c r="D4" s="55">
        <v>1.0229999999999999</v>
      </c>
      <c r="E4" s="55">
        <v>1.954</v>
      </c>
      <c r="F4" s="55" t="s">
        <v>282</v>
      </c>
      <c r="G4" s="55">
        <v>2.5680000000000001</v>
      </c>
      <c r="H4" s="55" t="s">
        <v>282</v>
      </c>
      <c r="I4" s="55">
        <v>2.2759999999999998</v>
      </c>
      <c r="J4" s="55" t="s">
        <v>282</v>
      </c>
      <c r="K4" s="55">
        <v>4.3579999999999997</v>
      </c>
      <c r="L4" s="55" t="s">
        <v>282</v>
      </c>
      <c r="M4" s="55">
        <v>2.5739999999999998</v>
      </c>
      <c r="N4" s="55">
        <v>0.88619999999999999</v>
      </c>
      <c r="O4" s="55">
        <v>1.1284000000000001</v>
      </c>
      <c r="P4" s="55">
        <v>1.6930000000000001</v>
      </c>
      <c r="Q4" s="55">
        <v>0.5907</v>
      </c>
    </row>
    <row r="5" spans="1:17" ht="15" thickBot="1">
      <c r="B5" s="54">
        <v>4</v>
      </c>
      <c r="C5" s="55">
        <v>1.5</v>
      </c>
      <c r="D5" s="55">
        <v>0.72899999999999998</v>
      </c>
      <c r="E5" s="55">
        <v>1.6279999999999999</v>
      </c>
      <c r="F5" s="55" t="s">
        <v>282</v>
      </c>
      <c r="G5" s="55">
        <v>2.266</v>
      </c>
      <c r="H5" s="55" t="s">
        <v>282</v>
      </c>
      <c r="I5" s="55">
        <v>2.0880000000000001</v>
      </c>
      <c r="J5" s="55" t="s">
        <v>282</v>
      </c>
      <c r="K5" s="55">
        <v>4.6980000000000004</v>
      </c>
      <c r="L5" s="55" t="s">
        <v>282</v>
      </c>
      <c r="M5" s="55">
        <v>2.282</v>
      </c>
      <c r="N5" s="55">
        <v>0.92130000000000001</v>
      </c>
      <c r="O5" s="55">
        <v>1.0853999999999999</v>
      </c>
      <c r="P5" s="55">
        <v>2.0590000000000002</v>
      </c>
      <c r="Q5" s="55">
        <v>0.48570000000000002</v>
      </c>
    </row>
    <row r="6" spans="1:17" ht="15" thickBot="1">
      <c r="B6" s="54">
        <v>5</v>
      </c>
      <c r="C6" s="55">
        <v>1.3420000000000001</v>
      </c>
      <c r="D6" s="55">
        <v>0.57699999999999996</v>
      </c>
      <c r="E6" s="55">
        <v>1.427</v>
      </c>
      <c r="F6" s="55" t="s">
        <v>282</v>
      </c>
      <c r="G6" s="55">
        <v>2.089</v>
      </c>
      <c r="H6" s="55" t="s">
        <v>282</v>
      </c>
      <c r="I6" s="55">
        <v>1.964</v>
      </c>
      <c r="J6" s="55" t="s">
        <v>282</v>
      </c>
      <c r="K6" s="55">
        <v>4.9180000000000001</v>
      </c>
      <c r="L6" s="55" t="s">
        <v>282</v>
      </c>
      <c r="M6" s="55">
        <v>2.1139999999999999</v>
      </c>
      <c r="N6" s="55">
        <v>0.94</v>
      </c>
      <c r="O6" s="55">
        <v>1.0638000000000001</v>
      </c>
      <c r="P6" s="55">
        <v>2.3260000000000001</v>
      </c>
      <c r="Q6" s="55">
        <v>0.4299</v>
      </c>
    </row>
    <row r="7" spans="1:17" ht="15" thickBot="1">
      <c r="B7" s="54">
        <v>6</v>
      </c>
      <c r="C7" s="55">
        <v>1.2250000000000001</v>
      </c>
      <c r="D7" s="55">
        <v>0.48299999999999998</v>
      </c>
      <c r="E7" s="55">
        <v>1.2869999999999999</v>
      </c>
      <c r="F7" s="55">
        <v>0.03</v>
      </c>
      <c r="G7" s="55">
        <v>1.97</v>
      </c>
      <c r="H7" s="55">
        <v>2.9000000000000001E-2</v>
      </c>
      <c r="I7" s="55">
        <v>1.8740000000000001</v>
      </c>
      <c r="J7" s="55" t="s">
        <v>282</v>
      </c>
      <c r="K7" s="55">
        <v>5.0780000000000003</v>
      </c>
      <c r="L7" s="55" t="s">
        <v>282</v>
      </c>
      <c r="M7" s="55">
        <v>2.004</v>
      </c>
      <c r="N7" s="55">
        <v>0.95150000000000001</v>
      </c>
      <c r="O7" s="55">
        <v>1.0509999999999999</v>
      </c>
      <c r="P7" s="55">
        <v>2.5339999999999998</v>
      </c>
      <c r="Q7" s="55">
        <v>0.39460000000000001</v>
      </c>
    </row>
    <row r="8" spans="1:17" ht="15" thickBot="1">
      <c r="B8" s="54">
        <v>7</v>
      </c>
      <c r="C8" s="55">
        <v>1.1339999999999999</v>
      </c>
      <c r="D8" s="55">
        <v>0.41899999999999998</v>
      </c>
      <c r="E8" s="55">
        <v>1.1819999999999999</v>
      </c>
      <c r="F8" s="55">
        <v>0.11799999999999999</v>
      </c>
      <c r="G8" s="55">
        <v>1.8819999999999999</v>
      </c>
      <c r="H8" s="55">
        <v>0.113</v>
      </c>
      <c r="I8" s="55">
        <v>1.806</v>
      </c>
      <c r="J8" s="55">
        <v>0.20399999999999999</v>
      </c>
      <c r="K8" s="55">
        <v>5.2039999999999997</v>
      </c>
      <c r="L8" s="55">
        <v>7.5999999999999998E-2</v>
      </c>
      <c r="M8" s="55">
        <v>1.9239999999999999</v>
      </c>
      <c r="N8" s="55">
        <v>0.95940000000000003</v>
      </c>
      <c r="O8" s="55">
        <v>1.0423</v>
      </c>
      <c r="P8" s="55">
        <v>2.7040000000000002</v>
      </c>
      <c r="Q8" s="55">
        <v>0.36980000000000002</v>
      </c>
    </row>
    <row r="9" spans="1:17" ht="15" thickBot="1">
      <c r="B9" s="54">
        <v>8</v>
      </c>
      <c r="C9" s="55">
        <v>1.0609999999999999</v>
      </c>
      <c r="D9" s="55">
        <v>0.373</v>
      </c>
      <c r="E9" s="55">
        <v>1.099</v>
      </c>
      <c r="F9" s="55">
        <v>0.185</v>
      </c>
      <c r="G9" s="55">
        <v>1.8149999999999999</v>
      </c>
      <c r="H9" s="55">
        <v>0.17899999999999999</v>
      </c>
      <c r="I9" s="55">
        <v>1.7509999999999999</v>
      </c>
      <c r="J9" s="55">
        <v>0.38800000000000001</v>
      </c>
      <c r="K9" s="55">
        <v>5.306</v>
      </c>
      <c r="L9" s="55">
        <v>0.13600000000000001</v>
      </c>
      <c r="M9" s="55">
        <v>1.8640000000000001</v>
      </c>
      <c r="N9" s="55">
        <v>0.96499999999999997</v>
      </c>
      <c r="O9" s="55">
        <v>1.0363</v>
      </c>
      <c r="P9" s="55">
        <v>2.847</v>
      </c>
      <c r="Q9" s="55">
        <v>0.35120000000000001</v>
      </c>
    </row>
    <row r="10" spans="1:17" ht="15" thickBot="1">
      <c r="B10" s="54">
        <v>9</v>
      </c>
      <c r="C10" s="55">
        <v>1</v>
      </c>
      <c r="D10" s="55">
        <v>0.33700000000000002</v>
      </c>
      <c r="E10" s="55">
        <v>1.032</v>
      </c>
      <c r="F10" s="55">
        <v>0.23899999999999999</v>
      </c>
      <c r="G10" s="55">
        <v>1.7609999999999999</v>
      </c>
      <c r="H10" s="55">
        <v>0.23200000000000001</v>
      </c>
      <c r="I10" s="55">
        <v>1.7070000000000001</v>
      </c>
      <c r="J10" s="55">
        <v>0.54700000000000004</v>
      </c>
      <c r="K10" s="55">
        <v>5.3929999999999998</v>
      </c>
      <c r="L10" s="55">
        <v>0.184</v>
      </c>
      <c r="M10" s="55">
        <v>1.8160000000000001</v>
      </c>
      <c r="N10" s="55">
        <v>0.96930000000000005</v>
      </c>
      <c r="O10" s="55">
        <v>1.0317000000000001</v>
      </c>
      <c r="P10" s="55">
        <v>2.97</v>
      </c>
      <c r="Q10" s="55">
        <v>0.3367</v>
      </c>
    </row>
    <row r="11" spans="1:17" ht="15" thickBot="1">
      <c r="B11" s="54">
        <v>10</v>
      </c>
      <c r="C11" s="55">
        <v>0.94899999999999995</v>
      </c>
      <c r="D11" s="55">
        <v>0.308</v>
      </c>
      <c r="E11" s="55">
        <v>0.97499999999999998</v>
      </c>
      <c r="F11" s="55">
        <v>0.28399999999999997</v>
      </c>
      <c r="G11" s="55">
        <v>1.716</v>
      </c>
      <c r="H11" s="55">
        <v>0.27600000000000002</v>
      </c>
      <c r="I11" s="55">
        <v>1.669</v>
      </c>
      <c r="J11" s="55">
        <v>0.68700000000000006</v>
      </c>
      <c r="K11" s="55">
        <v>5.4690000000000003</v>
      </c>
      <c r="L11" s="55">
        <v>0.223</v>
      </c>
      <c r="M11" s="55">
        <v>1.7769999999999999</v>
      </c>
      <c r="N11" s="55">
        <v>0.97270000000000001</v>
      </c>
      <c r="O11" s="55">
        <v>1.0281</v>
      </c>
      <c r="P11" s="55">
        <v>3.0779999999999998</v>
      </c>
      <c r="Q11" s="55">
        <v>0.32490000000000002</v>
      </c>
    </row>
    <row r="12" spans="1:17" ht="15" thickBot="1">
      <c r="B12" s="54">
        <v>11</v>
      </c>
      <c r="C12" s="55">
        <v>0.90500000000000003</v>
      </c>
      <c r="D12" s="55">
        <v>0.28499999999999998</v>
      </c>
      <c r="E12" s="55">
        <v>0.92700000000000005</v>
      </c>
      <c r="F12" s="55">
        <v>0.32100000000000001</v>
      </c>
      <c r="G12" s="55">
        <v>1.679</v>
      </c>
      <c r="H12" s="55">
        <v>0.313</v>
      </c>
      <c r="I12" s="55">
        <v>1.637</v>
      </c>
      <c r="J12" s="55">
        <v>0.81100000000000005</v>
      </c>
      <c r="K12" s="55">
        <v>5.5350000000000001</v>
      </c>
      <c r="L12" s="55">
        <v>0.25600000000000001</v>
      </c>
      <c r="M12" s="55">
        <v>1.744</v>
      </c>
      <c r="N12" s="55">
        <v>0.97540000000000004</v>
      </c>
      <c r="O12" s="55">
        <v>1.0251999999999999</v>
      </c>
      <c r="P12" s="55">
        <v>3.173</v>
      </c>
      <c r="Q12" s="55">
        <v>0.31519999999999998</v>
      </c>
    </row>
    <row r="13" spans="1:17" ht="15" thickBot="1">
      <c r="B13" s="54">
        <v>12</v>
      </c>
      <c r="C13" s="55">
        <v>0.86599999999999999</v>
      </c>
      <c r="D13" s="55">
        <v>0.26600000000000001</v>
      </c>
      <c r="E13" s="55">
        <v>0.88600000000000001</v>
      </c>
      <c r="F13" s="55">
        <v>0.35399999999999998</v>
      </c>
      <c r="G13" s="55">
        <v>1.6459999999999999</v>
      </c>
      <c r="H13" s="55">
        <v>0.34599999999999997</v>
      </c>
      <c r="I13" s="55">
        <v>1.61</v>
      </c>
      <c r="J13" s="55">
        <v>0.92200000000000004</v>
      </c>
      <c r="K13" s="55">
        <v>5.5940000000000003</v>
      </c>
      <c r="L13" s="55">
        <v>0.28299999999999997</v>
      </c>
      <c r="M13" s="55">
        <v>1.7170000000000001</v>
      </c>
      <c r="N13" s="55">
        <v>0.97760000000000002</v>
      </c>
      <c r="O13" s="55">
        <v>1.0228999999999999</v>
      </c>
      <c r="P13" s="55">
        <v>3.258</v>
      </c>
      <c r="Q13" s="55">
        <v>0.30690000000000001</v>
      </c>
    </row>
    <row r="14" spans="1:17" ht="15" thickBot="1">
      <c r="B14" s="54">
        <v>13</v>
      </c>
      <c r="C14" s="55">
        <v>0.83199999999999996</v>
      </c>
      <c r="D14" s="55">
        <v>0.249</v>
      </c>
      <c r="E14" s="55">
        <v>0.85</v>
      </c>
      <c r="F14" s="55">
        <v>0.38200000000000001</v>
      </c>
      <c r="G14" s="55">
        <v>1.6180000000000001</v>
      </c>
      <c r="H14" s="55">
        <v>0.374</v>
      </c>
      <c r="I14" s="55">
        <v>1.585</v>
      </c>
      <c r="J14" s="55">
        <v>1.0249999999999999</v>
      </c>
      <c r="K14" s="55">
        <v>5.6470000000000002</v>
      </c>
      <c r="L14" s="55">
        <v>0.307</v>
      </c>
      <c r="M14" s="55">
        <v>1.6930000000000001</v>
      </c>
      <c r="N14" s="55">
        <v>0.97940000000000005</v>
      </c>
      <c r="O14" s="55">
        <v>1.0209999999999999</v>
      </c>
      <c r="P14" s="55">
        <v>3.3359999999999999</v>
      </c>
      <c r="Q14" s="55">
        <v>0.29980000000000001</v>
      </c>
    </row>
    <row r="15" spans="1:17" ht="15" thickBot="1">
      <c r="B15" s="54">
        <v>14</v>
      </c>
      <c r="C15" s="55">
        <v>0.80200000000000005</v>
      </c>
      <c r="D15" s="55">
        <v>0.23499999999999999</v>
      </c>
      <c r="E15" s="55">
        <v>0.81699999999999995</v>
      </c>
      <c r="F15" s="55">
        <v>0.40600000000000003</v>
      </c>
      <c r="G15" s="55">
        <v>1.5940000000000001</v>
      </c>
      <c r="H15" s="55">
        <v>0.39900000000000002</v>
      </c>
      <c r="I15" s="55">
        <v>1.5629999999999999</v>
      </c>
      <c r="J15" s="55">
        <v>1.1180000000000001</v>
      </c>
      <c r="K15" s="55">
        <v>5.6959999999999997</v>
      </c>
      <c r="L15" s="55">
        <v>0.32800000000000001</v>
      </c>
      <c r="M15" s="55">
        <v>1.6719999999999999</v>
      </c>
      <c r="N15" s="55">
        <v>0.98099999999999998</v>
      </c>
      <c r="O15" s="55">
        <v>1.0194000000000001</v>
      </c>
      <c r="P15" s="55">
        <v>3.407</v>
      </c>
      <c r="Q15" s="55">
        <v>0.29349999999999998</v>
      </c>
    </row>
    <row r="16" spans="1:17" ht="15" thickBot="1">
      <c r="B16" s="54">
        <v>15</v>
      </c>
      <c r="C16" s="55">
        <v>0.77500000000000002</v>
      </c>
      <c r="D16" s="55">
        <v>0.223</v>
      </c>
      <c r="E16" s="55">
        <v>0.78900000000000003</v>
      </c>
      <c r="F16" s="55">
        <v>0.42799999999999999</v>
      </c>
      <c r="G16" s="55">
        <v>1.5720000000000001</v>
      </c>
      <c r="H16" s="55">
        <v>0.42099999999999999</v>
      </c>
      <c r="I16" s="55">
        <v>1.544</v>
      </c>
      <c r="J16" s="55">
        <v>1.2030000000000001</v>
      </c>
      <c r="K16" s="55">
        <v>5.7409999999999997</v>
      </c>
      <c r="L16" s="55">
        <v>0.34699999999999998</v>
      </c>
      <c r="M16" s="55">
        <v>1.653</v>
      </c>
      <c r="N16" s="55">
        <v>0.98229999999999995</v>
      </c>
      <c r="O16" s="55">
        <v>1.018</v>
      </c>
      <c r="P16" s="55">
        <v>3.472</v>
      </c>
      <c r="Q16" s="55">
        <v>0.28799999999999998</v>
      </c>
    </row>
    <row r="17" spans="2:17" ht="15" thickBot="1">
      <c r="B17" s="54">
        <v>16</v>
      </c>
      <c r="C17" s="55">
        <v>0.75</v>
      </c>
      <c r="D17" s="55">
        <v>0.21199999999999999</v>
      </c>
      <c r="E17" s="55">
        <v>0.76300000000000001</v>
      </c>
      <c r="F17" s="55">
        <v>0.44800000000000001</v>
      </c>
      <c r="G17" s="55">
        <v>1.552</v>
      </c>
      <c r="H17" s="55">
        <v>0.44</v>
      </c>
      <c r="I17" s="55">
        <v>1.526</v>
      </c>
      <c r="J17" s="55">
        <v>1.282</v>
      </c>
      <c r="K17" s="55">
        <v>5.782</v>
      </c>
      <c r="L17" s="55">
        <v>0.36299999999999999</v>
      </c>
      <c r="M17" s="55">
        <v>1.637</v>
      </c>
      <c r="N17" s="55">
        <v>0.98350000000000004</v>
      </c>
      <c r="O17" s="55">
        <v>1.0167999999999999</v>
      </c>
      <c r="P17" s="55">
        <v>3.532</v>
      </c>
      <c r="Q17" s="55">
        <v>0.28310000000000002</v>
      </c>
    </row>
    <row r="18" spans="2:17" ht="15" thickBot="1">
      <c r="B18" s="54">
        <v>17</v>
      </c>
      <c r="C18" s="55">
        <v>0.72799999999999998</v>
      </c>
      <c r="D18" s="55">
        <v>0.20300000000000001</v>
      </c>
      <c r="E18" s="55">
        <v>0.73899999999999999</v>
      </c>
      <c r="F18" s="55">
        <v>0.46600000000000003</v>
      </c>
      <c r="G18" s="55">
        <v>1.534</v>
      </c>
      <c r="H18" s="55">
        <v>0.45800000000000002</v>
      </c>
      <c r="I18" s="55">
        <v>1.5109999999999999</v>
      </c>
      <c r="J18" s="55">
        <v>1.3560000000000001</v>
      </c>
      <c r="K18" s="55">
        <v>5.82</v>
      </c>
      <c r="L18" s="55">
        <v>0.378</v>
      </c>
      <c r="M18" s="55">
        <v>1.6220000000000001</v>
      </c>
      <c r="N18" s="55">
        <v>0.98450000000000004</v>
      </c>
      <c r="O18" s="55">
        <v>1.0157</v>
      </c>
      <c r="P18" s="55">
        <v>3.5880000000000001</v>
      </c>
      <c r="Q18" s="55">
        <v>0.2787</v>
      </c>
    </row>
    <row r="19" spans="2:17" ht="15" thickBot="1">
      <c r="B19" s="54">
        <v>18</v>
      </c>
      <c r="C19" s="55">
        <v>0.70699999999999996</v>
      </c>
      <c r="D19" s="55">
        <v>0.19400000000000001</v>
      </c>
      <c r="E19" s="55">
        <v>0.71799999999999997</v>
      </c>
      <c r="F19" s="55">
        <v>0.48199999999999998</v>
      </c>
      <c r="G19" s="55">
        <v>1.518</v>
      </c>
      <c r="H19" s="55">
        <v>0.47499999999999998</v>
      </c>
      <c r="I19" s="55">
        <v>1.496</v>
      </c>
      <c r="J19" s="55">
        <v>1.4239999999999999</v>
      </c>
      <c r="K19" s="55">
        <v>5.8559999999999999</v>
      </c>
      <c r="L19" s="55">
        <v>0.39100000000000001</v>
      </c>
      <c r="M19" s="55">
        <v>1.6080000000000001</v>
      </c>
      <c r="N19" s="55">
        <v>0.98540000000000005</v>
      </c>
      <c r="O19" s="55">
        <v>1.0147999999999999</v>
      </c>
      <c r="P19" s="55">
        <v>3.64</v>
      </c>
      <c r="Q19" s="55">
        <v>0.2747</v>
      </c>
    </row>
    <row r="20" spans="2:17" ht="15" thickBot="1">
      <c r="B20" s="54">
        <v>19</v>
      </c>
      <c r="C20" s="55">
        <v>0.68799999999999994</v>
      </c>
      <c r="D20" s="55">
        <v>0.187</v>
      </c>
      <c r="E20" s="55">
        <v>0.69799999999999995</v>
      </c>
      <c r="F20" s="55">
        <v>0.497</v>
      </c>
      <c r="G20" s="55">
        <v>1.5029999999999999</v>
      </c>
      <c r="H20" s="55">
        <v>0.49</v>
      </c>
      <c r="I20" s="55">
        <v>1.4830000000000001</v>
      </c>
      <c r="J20" s="55">
        <v>1.4870000000000001</v>
      </c>
      <c r="K20" s="55">
        <v>5.891</v>
      </c>
      <c r="L20" s="55">
        <v>0.40300000000000002</v>
      </c>
      <c r="M20" s="55">
        <v>1.597</v>
      </c>
      <c r="N20" s="55">
        <v>0.98619999999999997</v>
      </c>
      <c r="O20" s="55">
        <v>1.014</v>
      </c>
      <c r="P20" s="55">
        <v>3.6890000000000001</v>
      </c>
      <c r="Q20" s="55">
        <v>0.27110000000000001</v>
      </c>
    </row>
    <row r="21" spans="2:17" ht="15" thickBot="1">
      <c r="B21" s="54">
        <v>20</v>
      </c>
      <c r="C21" s="55">
        <v>0.67100000000000004</v>
      </c>
      <c r="D21" s="55">
        <v>0.18</v>
      </c>
      <c r="E21" s="55">
        <v>0.68</v>
      </c>
      <c r="F21" s="55">
        <v>0.51</v>
      </c>
      <c r="G21" s="55">
        <v>1.49</v>
      </c>
      <c r="H21" s="55">
        <v>0.504</v>
      </c>
      <c r="I21" s="55">
        <v>1.47</v>
      </c>
      <c r="J21" s="55">
        <v>1.5489999999999999</v>
      </c>
      <c r="K21" s="55">
        <v>5.9210000000000003</v>
      </c>
      <c r="L21" s="55">
        <v>0.41499999999999998</v>
      </c>
      <c r="M21" s="55">
        <v>1.585</v>
      </c>
      <c r="N21" s="55">
        <v>0.9869</v>
      </c>
      <c r="O21" s="55">
        <v>1.0133000000000001</v>
      </c>
      <c r="P21" s="55">
        <v>3.7349999999999999</v>
      </c>
      <c r="Q21" s="55">
        <v>0.26769999999999999</v>
      </c>
    </row>
    <row r="22" spans="2:17" ht="15" thickBot="1">
      <c r="B22" s="54">
        <v>21</v>
      </c>
      <c r="C22" s="55">
        <v>0.65500000000000003</v>
      </c>
      <c r="D22" s="55">
        <v>0.17299999999999999</v>
      </c>
      <c r="E22" s="55">
        <v>0.66300000000000003</v>
      </c>
      <c r="F22" s="55">
        <v>0.52300000000000002</v>
      </c>
      <c r="G22" s="55">
        <v>1.4770000000000001</v>
      </c>
      <c r="H22" s="55">
        <v>0.51600000000000001</v>
      </c>
      <c r="I22" s="55">
        <v>1.4590000000000001</v>
      </c>
      <c r="J22" s="55">
        <v>1.605</v>
      </c>
      <c r="K22" s="55">
        <v>5.9509999999999996</v>
      </c>
      <c r="L22" s="55">
        <v>0.42499999999999999</v>
      </c>
      <c r="M22" s="55">
        <v>1.575</v>
      </c>
      <c r="N22" s="55">
        <v>0.98760000000000003</v>
      </c>
      <c r="O22" s="55">
        <v>1.0125999999999999</v>
      </c>
      <c r="P22" s="55">
        <v>3.778</v>
      </c>
      <c r="Q22" s="55">
        <v>0.26469999999999999</v>
      </c>
    </row>
    <row r="23" spans="2:17" ht="15" thickBot="1">
      <c r="B23" s="54">
        <v>22</v>
      </c>
      <c r="C23" s="55">
        <v>0.64</v>
      </c>
      <c r="D23" s="55">
        <v>0.16700000000000001</v>
      </c>
      <c r="E23" s="55">
        <v>0.64700000000000002</v>
      </c>
      <c r="F23" s="55">
        <v>0.53400000000000003</v>
      </c>
      <c r="G23" s="55">
        <v>1.466</v>
      </c>
      <c r="H23" s="55">
        <v>0.52800000000000002</v>
      </c>
      <c r="I23" s="55">
        <v>1.448</v>
      </c>
      <c r="J23" s="55">
        <v>1.659</v>
      </c>
      <c r="K23" s="55">
        <v>5.9790000000000001</v>
      </c>
      <c r="L23" s="55">
        <v>0.434</v>
      </c>
      <c r="M23" s="55">
        <v>1.5660000000000001</v>
      </c>
      <c r="N23" s="55">
        <v>0.98819999999999997</v>
      </c>
      <c r="O23" s="55">
        <v>1.0119</v>
      </c>
      <c r="P23" s="55">
        <v>3.819</v>
      </c>
      <c r="Q23" s="55">
        <v>0.26179999999999998</v>
      </c>
    </row>
    <row r="24" spans="2:17" ht="15" thickBot="1">
      <c r="B24" s="54">
        <v>23</v>
      </c>
      <c r="C24" s="55">
        <v>0.626</v>
      </c>
      <c r="D24" s="55">
        <v>0.16200000000000001</v>
      </c>
      <c r="E24" s="55">
        <v>0.63300000000000001</v>
      </c>
      <c r="F24" s="55">
        <v>0.54500000000000004</v>
      </c>
      <c r="G24" s="55">
        <v>1.4550000000000001</v>
      </c>
      <c r="H24" s="55">
        <v>0.53900000000000003</v>
      </c>
      <c r="I24" s="55">
        <v>1.4379999999999999</v>
      </c>
      <c r="J24" s="55">
        <v>1.71</v>
      </c>
      <c r="K24" s="55">
        <v>6.0060000000000002</v>
      </c>
      <c r="L24" s="55">
        <v>0.443</v>
      </c>
      <c r="M24" s="55">
        <v>1.5569999999999999</v>
      </c>
      <c r="N24" s="55">
        <v>0.98870000000000002</v>
      </c>
      <c r="O24" s="55">
        <v>1.0114000000000001</v>
      </c>
      <c r="P24" s="55">
        <v>3.8580000000000001</v>
      </c>
      <c r="Q24" s="55">
        <v>0.25919999999999999</v>
      </c>
    </row>
    <row r="25" spans="2:17" ht="15" thickBot="1">
      <c r="B25" s="54">
        <v>24</v>
      </c>
      <c r="C25" s="55">
        <v>0.61199999999999999</v>
      </c>
      <c r="D25" s="55">
        <v>0.157</v>
      </c>
      <c r="E25" s="55">
        <v>0.61899999999999999</v>
      </c>
      <c r="F25" s="55">
        <v>0.55500000000000005</v>
      </c>
      <c r="G25" s="55">
        <v>1.4450000000000001</v>
      </c>
      <c r="H25" s="55">
        <v>0.54900000000000004</v>
      </c>
      <c r="I25" s="55">
        <v>1.429</v>
      </c>
      <c r="J25" s="55">
        <v>1.7589999999999999</v>
      </c>
      <c r="K25" s="55">
        <v>6.0309999999999997</v>
      </c>
      <c r="L25" s="55">
        <v>0.45100000000000001</v>
      </c>
      <c r="M25" s="55">
        <v>1.548</v>
      </c>
      <c r="N25" s="55">
        <v>0.98919999999999997</v>
      </c>
      <c r="O25" s="55">
        <v>1.0108999999999999</v>
      </c>
      <c r="P25" s="55">
        <v>3.895</v>
      </c>
      <c r="Q25" s="55">
        <v>0.25669999999999998</v>
      </c>
    </row>
    <row r="26" spans="2:17" ht="15" thickBot="1">
      <c r="B26" s="54">
        <v>25</v>
      </c>
      <c r="C26" s="55">
        <v>0.6</v>
      </c>
      <c r="D26" s="55">
        <v>0.153</v>
      </c>
      <c r="E26" s="55">
        <v>0.60599999999999998</v>
      </c>
      <c r="F26" s="55">
        <v>0.56499999999999995</v>
      </c>
      <c r="G26" s="55">
        <v>1.4350000000000001</v>
      </c>
      <c r="H26" s="55">
        <v>0.55900000000000005</v>
      </c>
      <c r="I26" s="55">
        <v>1.42</v>
      </c>
      <c r="J26" s="55">
        <v>1.806</v>
      </c>
      <c r="K26" s="55">
        <v>6.056</v>
      </c>
      <c r="L26" s="55">
        <v>0.45900000000000002</v>
      </c>
      <c r="M26" s="55">
        <v>1.5409999999999999</v>
      </c>
      <c r="N26" s="55">
        <v>0.98960000000000004</v>
      </c>
      <c r="O26" s="55">
        <v>1.0105</v>
      </c>
      <c r="P26" s="55">
        <v>3.931</v>
      </c>
      <c r="Q26" s="55">
        <v>0.25440000000000002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"/>
  <sheetViews>
    <sheetView workbookViewId="0">
      <selection activeCell="G14" sqref="G14"/>
    </sheetView>
  </sheetViews>
  <sheetFormatPr defaultColWidth="9.140625" defaultRowHeight="14.45"/>
  <cols>
    <col min="1" max="16384" width="9.140625" style="31"/>
  </cols>
  <sheetData>
    <row r="1" spans="1:14" ht="15.6">
      <c r="A1" s="56" t="s">
        <v>283</v>
      </c>
      <c r="B1" s="57" t="s">
        <v>284</v>
      </c>
      <c r="C1" s="57" t="s">
        <v>285</v>
      </c>
      <c r="D1" s="57" t="s">
        <v>286</v>
      </c>
      <c r="E1" s="57" t="s">
        <v>287</v>
      </c>
      <c r="F1" s="57" t="s">
        <v>288</v>
      </c>
      <c r="G1" s="57" t="s">
        <v>289</v>
      </c>
      <c r="H1" s="57" t="s">
        <v>290</v>
      </c>
      <c r="I1" s="57" t="s">
        <v>291</v>
      </c>
      <c r="J1" s="57" t="s">
        <v>292</v>
      </c>
      <c r="K1" s="57" t="s">
        <v>293</v>
      </c>
      <c r="L1" s="57" t="s">
        <v>294</v>
      </c>
      <c r="M1" s="57" t="s">
        <v>295</v>
      </c>
      <c r="N1" s="58" t="s">
        <v>296</v>
      </c>
    </row>
    <row r="2" spans="1:14" ht="15.6">
      <c r="A2" s="59">
        <v>84.7</v>
      </c>
      <c r="B2" s="60">
        <v>83.6</v>
      </c>
      <c r="C2" s="60">
        <v>93.7</v>
      </c>
      <c r="D2" s="60">
        <v>95.9</v>
      </c>
      <c r="E2" s="60">
        <v>91.9</v>
      </c>
      <c r="F2" s="60">
        <v>87.2</v>
      </c>
      <c r="G2" s="60">
        <v>95.8</v>
      </c>
      <c r="H2" s="60">
        <v>93.1</v>
      </c>
      <c r="I2" s="60">
        <v>88.1</v>
      </c>
      <c r="J2" s="60">
        <v>90.8</v>
      </c>
      <c r="K2" s="60">
        <v>91.9</v>
      </c>
      <c r="L2" s="60">
        <v>93.7</v>
      </c>
      <c r="M2" s="60">
        <v>87.8</v>
      </c>
      <c r="N2" s="61">
        <v>88.2</v>
      </c>
    </row>
    <row r="3" spans="1:14" ht="15.6">
      <c r="A3" s="59">
        <v>86.2</v>
      </c>
      <c r="B3" s="60">
        <v>94.5</v>
      </c>
      <c r="C3" s="60">
        <v>97.4</v>
      </c>
      <c r="D3" s="60">
        <v>86.6</v>
      </c>
      <c r="E3" s="60">
        <v>87</v>
      </c>
      <c r="F3" s="60">
        <v>88.5</v>
      </c>
      <c r="G3" s="60">
        <v>90.3</v>
      </c>
      <c r="H3" s="60">
        <v>88.1</v>
      </c>
      <c r="I3" s="60">
        <v>95.6</v>
      </c>
      <c r="J3" s="60">
        <v>95.5</v>
      </c>
      <c r="K3" s="60">
        <v>93.9</v>
      </c>
      <c r="L3" s="60">
        <v>102.1</v>
      </c>
      <c r="M3" s="60">
        <v>93.7</v>
      </c>
      <c r="N3" s="61">
        <v>92.3</v>
      </c>
    </row>
    <row r="4" spans="1:14" ht="15.6">
      <c r="A4" s="59">
        <v>83.3</v>
      </c>
      <c r="B4" s="60">
        <v>88.8</v>
      </c>
      <c r="C4" s="60">
        <v>83.2</v>
      </c>
      <c r="D4" s="60">
        <v>89.7</v>
      </c>
      <c r="E4" s="60">
        <v>99.5</v>
      </c>
      <c r="F4" s="60">
        <v>89.5</v>
      </c>
      <c r="G4" s="60">
        <v>93.5</v>
      </c>
      <c r="H4" s="60">
        <v>89.3</v>
      </c>
      <c r="I4" s="60">
        <v>80.5</v>
      </c>
      <c r="J4" s="60">
        <v>94.6</v>
      </c>
      <c r="K4" s="60">
        <v>88.8</v>
      </c>
      <c r="L4" s="60">
        <v>96.3</v>
      </c>
      <c r="M4" s="60">
        <v>87.5</v>
      </c>
      <c r="N4" s="61">
        <v>91.8</v>
      </c>
    </row>
    <row r="5" spans="1:14" ht="15.6">
      <c r="A5" s="59">
        <v>91.4</v>
      </c>
      <c r="B5" s="60">
        <v>96.6</v>
      </c>
      <c r="C5" s="60">
        <v>97.5</v>
      </c>
      <c r="D5" s="60">
        <v>88</v>
      </c>
      <c r="E5" s="60">
        <v>82.6</v>
      </c>
      <c r="F5" s="60">
        <v>79.900000000000006</v>
      </c>
      <c r="G5" s="60">
        <v>93.2</v>
      </c>
      <c r="H5" s="60">
        <v>90.4</v>
      </c>
      <c r="I5" s="60">
        <v>91</v>
      </c>
      <c r="J5" s="60">
        <v>89.1</v>
      </c>
      <c r="K5" s="60">
        <v>79.5</v>
      </c>
      <c r="L5" s="60">
        <v>97.4</v>
      </c>
      <c r="M5" s="60">
        <v>93.9</v>
      </c>
      <c r="N5" s="61">
        <v>88.7</v>
      </c>
    </row>
    <row r="6" spans="1:14" ht="15.6">
      <c r="A6" s="59">
        <v>86.3</v>
      </c>
      <c r="B6" s="60">
        <v>82.5</v>
      </c>
      <c r="C6" s="60">
        <v>86</v>
      </c>
      <c r="D6" s="60">
        <v>89.1</v>
      </c>
      <c r="E6" s="60">
        <v>94.5</v>
      </c>
      <c r="F6" s="60">
        <v>86.4</v>
      </c>
      <c r="G6" s="60">
        <v>90.3</v>
      </c>
      <c r="H6" s="60">
        <v>96.9</v>
      </c>
      <c r="I6" s="60">
        <v>94</v>
      </c>
      <c r="J6" s="60">
        <v>89.2</v>
      </c>
      <c r="K6" s="60">
        <v>90</v>
      </c>
      <c r="L6" s="60">
        <v>99.2</v>
      </c>
      <c r="M6" s="60">
        <v>77.2</v>
      </c>
      <c r="N6" s="61">
        <v>85.6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workbookViewId="0">
      <selection activeCell="K6" sqref="K6"/>
    </sheetView>
  </sheetViews>
  <sheetFormatPr defaultColWidth="9.140625" defaultRowHeight="14.45"/>
  <cols>
    <col min="1" max="16384" width="9.140625" style="31"/>
  </cols>
  <sheetData>
    <row r="1" spans="1:14" ht="15.6">
      <c r="A1" s="62" t="s">
        <v>283</v>
      </c>
      <c r="B1" s="62" t="s">
        <v>284</v>
      </c>
      <c r="C1" s="62" t="s">
        <v>285</v>
      </c>
      <c r="D1" s="62" t="s">
        <v>286</v>
      </c>
      <c r="E1" s="62" t="s">
        <v>287</v>
      </c>
      <c r="F1" s="62" t="s">
        <v>288</v>
      </c>
      <c r="G1" s="62" t="s">
        <v>289</v>
      </c>
      <c r="H1" s="62" t="s">
        <v>290</v>
      </c>
      <c r="I1" s="62" t="s">
        <v>291</v>
      </c>
      <c r="J1" s="62" t="s">
        <v>292</v>
      </c>
      <c r="K1" s="62" t="s">
        <v>293</v>
      </c>
      <c r="L1" s="62" t="s">
        <v>294</v>
      </c>
      <c r="M1" s="62" t="s">
        <v>295</v>
      </c>
      <c r="N1" s="62" t="s">
        <v>296</v>
      </c>
    </row>
    <row r="2" spans="1:14" ht="17.45">
      <c r="A2" s="63">
        <v>90.7</v>
      </c>
      <c r="B2" s="63">
        <v>87.9</v>
      </c>
      <c r="C2" s="63">
        <v>91.2</v>
      </c>
      <c r="D2" s="63">
        <v>91.7</v>
      </c>
      <c r="E2" s="63">
        <v>87.6</v>
      </c>
      <c r="F2" s="63">
        <v>93.8</v>
      </c>
      <c r="G2" s="63">
        <v>92.2</v>
      </c>
      <c r="H2" s="63">
        <v>89</v>
      </c>
      <c r="I2" s="63">
        <v>87.9</v>
      </c>
      <c r="J2" s="63">
        <v>89.1</v>
      </c>
      <c r="K2" s="63">
        <v>90.8</v>
      </c>
      <c r="L2" s="63">
        <v>91.5</v>
      </c>
      <c r="M2" s="63">
        <v>93.3</v>
      </c>
      <c r="N2" s="63">
        <v>86.4</v>
      </c>
    </row>
    <row r="3" spans="1:14" ht="17.45">
      <c r="A3" s="63">
        <v>91.8</v>
      </c>
      <c r="B3" s="63">
        <v>89.7</v>
      </c>
      <c r="C3" s="63">
        <v>89.1</v>
      </c>
      <c r="D3" s="63">
        <v>88.6</v>
      </c>
      <c r="E3" s="63">
        <v>90</v>
      </c>
      <c r="F3" s="63">
        <v>88.4</v>
      </c>
      <c r="G3" s="63">
        <v>90.2</v>
      </c>
      <c r="H3" s="63">
        <v>87.4</v>
      </c>
      <c r="I3" s="63">
        <v>92</v>
      </c>
      <c r="J3" s="63">
        <v>92.6</v>
      </c>
      <c r="K3" s="63">
        <v>88.7</v>
      </c>
      <c r="L3" s="63">
        <v>90.4</v>
      </c>
      <c r="M3" s="63">
        <v>88.4</v>
      </c>
      <c r="N3" s="63">
        <v>91.4</v>
      </c>
    </row>
    <row r="4" spans="1:14" ht="17.45">
      <c r="A4" s="63">
        <v>91.5</v>
      </c>
      <c r="B4" s="63">
        <v>93.5</v>
      </c>
      <c r="C4" s="63">
        <v>84.6</v>
      </c>
      <c r="D4" s="63">
        <v>90.5</v>
      </c>
      <c r="E4" s="63">
        <v>87.6</v>
      </c>
      <c r="F4" s="63">
        <v>92.3</v>
      </c>
      <c r="G4" s="63">
        <v>89.8</v>
      </c>
      <c r="H4" s="63">
        <v>92.2</v>
      </c>
      <c r="I4" s="63">
        <v>90.2</v>
      </c>
      <c r="J4" s="63">
        <v>89.1</v>
      </c>
      <c r="K4" s="63">
        <v>91.2</v>
      </c>
      <c r="L4" s="63">
        <v>87.9</v>
      </c>
      <c r="M4" s="63">
        <v>88.5</v>
      </c>
      <c r="N4" s="63">
        <v>87.8</v>
      </c>
    </row>
    <row r="5" spans="1:14" ht="17.45">
      <c r="A5" s="63">
        <v>89.6</v>
      </c>
      <c r="B5" s="63">
        <v>91.2</v>
      </c>
      <c r="C5" s="63">
        <v>88.8</v>
      </c>
      <c r="D5" s="63">
        <v>89.9</v>
      </c>
      <c r="E5" s="63">
        <v>88.4</v>
      </c>
      <c r="F5" s="63">
        <v>89.5</v>
      </c>
      <c r="G5" s="63">
        <v>88.1</v>
      </c>
      <c r="H5" s="63">
        <v>86.8</v>
      </c>
      <c r="I5" s="63">
        <v>94.7</v>
      </c>
      <c r="J5" s="63">
        <v>88</v>
      </c>
      <c r="K5" s="63">
        <v>86.1</v>
      </c>
      <c r="L5" s="63">
        <v>86.9</v>
      </c>
      <c r="M5" s="63">
        <v>87.6</v>
      </c>
      <c r="N5" s="63">
        <v>89.6</v>
      </c>
    </row>
    <row r="6" spans="1:14" ht="17.45">
      <c r="A6" s="63">
        <v>88.2</v>
      </c>
      <c r="B6" s="63">
        <v>92.4</v>
      </c>
      <c r="C6" s="63">
        <v>91</v>
      </c>
      <c r="D6" s="63">
        <v>88.1</v>
      </c>
      <c r="E6" s="63">
        <v>94.1</v>
      </c>
      <c r="F6" s="63">
        <v>86.7</v>
      </c>
      <c r="G6" s="63">
        <v>87.2</v>
      </c>
      <c r="H6" s="63">
        <v>89.8</v>
      </c>
      <c r="I6" s="63">
        <v>93.8</v>
      </c>
      <c r="J6" s="63">
        <v>91.3</v>
      </c>
      <c r="K6" s="63">
        <v>89.7</v>
      </c>
      <c r="L6" s="63">
        <v>88.1</v>
      </c>
      <c r="M6" s="63">
        <v>91.7</v>
      </c>
      <c r="N6" s="63">
        <v>86.7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6"/>
  <sheetViews>
    <sheetView topLeftCell="A16" workbookViewId="0">
      <selection activeCell="E26" sqref="E26"/>
    </sheetView>
  </sheetViews>
  <sheetFormatPr defaultColWidth="9.140625" defaultRowHeight="14.45"/>
  <cols>
    <col min="1" max="16384" width="9.140625" style="31"/>
  </cols>
  <sheetData>
    <row r="1" spans="1:2" ht="29.1">
      <c r="A1" s="127" t="s">
        <v>297</v>
      </c>
      <c r="B1" s="127" t="s">
        <v>298</v>
      </c>
    </row>
    <row r="2" spans="1:2">
      <c r="A2" s="127">
        <v>1</v>
      </c>
      <c r="B2" s="127">
        <v>1.01</v>
      </c>
    </row>
    <row r="3" spans="1:2">
      <c r="A3" s="127">
        <v>2</v>
      </c>
      <c r="B3" s="127">
        <v>0.98</v>
      </c>
    </row>
    <row r="4" spans="1:2">
      <c r="A4" s="127">
        <v>3</v>
      </c>
      <c r="B4" s="127">
        <v>1.04</v>
      </c>
    </row>
    <row r="5" spans="1:2">
      <c r="A5" s="127">
        <v>4</v>
      </c>
      <c r="B5" s="127">
        <v>1.07</v>
      </c>
    </row>
    <row r="6" spans="1:2">
      <c r="A6" s="127">
        <v>5</v>
      </c>
      <c r="B6" s="127">
        <v>1.02</v>
      </c>
    </row>
    <row r="7" spans="1:2">
      <c r="A7" s="127">
        <v>6</v>
      </c>
      <c r="B7" s="127">
        <v>1.03</v>
      </c>
    </row>
    <row r="8" spans="1:2">
      <c r="A8" s="127">
        <v>7</v>
      </c>
      <c r="B8" s="127">
        <v>0.98</v>
      </c>
    </row>
    <row r="9" spans="1:2">
      <c r="A9" s="127">
        <v>8</v>
      </c>
      <c r="B9" s="127">
        <v>1.01</v>
      </c>
    </row>
    <row r="10" spans="1:2">
      <c r="A10" s="127">
        <v>9</v>
      </c>
      <c r="B10" s="127">
        <v>0.97</v>
      </c>
    </row>
    <row r="11" spans="1:2">
      <c r="A11" s="127">
        <v>10</v>
      </c>
      <c r="B11" s="127">
        <v>1.01</v>
      </c>
    </row>
    <row r="12" spans="1:2">
      <c r="A12" s="127">
        <v>11</v>
      </c>
      <c r="B12" s="127">
        <v>1.04</v>
      </c>
    </row>
    <row r="13" spans="1:2">
      <c r="A13" s="127">
        <v>12</v>
      </c>
      <c r="B13" s="127">
        <v>1.02</v>
      </c>
    </row>
    <row r="14" spans="1:2">
      <c r="A14" s="127">
        <v>13</v>
      </c>
      <c r="B14" s="127">
        <v>1.05</v>
      </c>
    </row>
    <row r="15" spans="1:2">
      <c r="A15" s="127">
        <v>14</v>
      </c>
      <c r="B15" s="127">
        <v>1</v>
      </c>
    </row>
    <row r="16" spans="1:2">
      <c r="A16" s="127">
        <v>15</v>
      </c>
      <c r="B16" s="127">
        <v>0.96</v>
      </c>
    </row>
    <row r="17" spans="1:2">
      <c r="A17" s="127">
        <v>16</v>
      </c>
      <c r="B17" s="127">
        <v>0.99</v>
      </c>
    </row>
    <row r="18" spans="1:2">
      <c r="A18" s="127">
        <v>17</v>
      </c>
      <c r="B18" s="127">
        <v>1.03</v>
      </c>
    </row>
    <row r="19" spans="1:2">
      <c r="A19" s="127">
        <v>18</v>
      </c>
      <c r="B19" s="127">
        <v>1</v>
      </c>
    </row>
    <row r="20" spans="1:2">
      <c r="A20" s="127">
        <v>19</v>
      </c>
      <c r="B20" s="127">
        <v>1.06</v>
      </c>
    </row>
    <row r="21" spans="1:2">
      <c r="A21" s="127">
        <v>20</v>
      </c>
      <c r="B21" s="127">
        <v>1.02</v>
      </c>
    </row>
    <row r="22" spans="1:2">
      <c r="A22" s="127">
        <v>21</v>
      </c>
      <c r="B22" s="127">
        <v>0.98</v>
      </c>
    </row>
    <row r="23" spans="1:2">
      <c r="A23" s="127">
        <v>22</v>
      </c>
      <c r="B23" s="127">
        <v>1</v>
      </c>
    </row>
    <row r="24" spans="1:2">
      <c r="A24" s="127">
        <v>23</v>
      </c>
      <c r="B24" s="127">
        <v>1.04</v>
      </c>
    </row>
    <row r="25" spans="1:2">
      <c r="A25" s="127">
        <v>24</v>
      </c>
      <c r="B25" s="127">
        <v>0.96</v>
      </c>
    </row>
    <row r="26" spans="1:2">
      <c r="A26" s="127">
        <v>25</v>
      </c>
      <c r="B26" s="127">
        <v>1.01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7"/>
  <sheetViews>
    <sheetView zoomScale="85" zoomScaleNormal="85" workbookViewId="0">
      <selection activeCell="C3" sqref="A1:C17"/>
    </sheetView>
  </sheetViews>
  <sheetFormatPr defaultColWidth="9.140625" defaultRowHeight="14.45"/>
  <cols>
    <col min="1" max="16384" width="9.140625" style="31"/>
  </cols>
  <sheetData>
    <row r="1" spans="1:3" ht="33.950000000000003">
      <c r="A1" s="64" t="s">
        <v>250</v>
      </c>
      <c r="B1" s="64" t="s">
        <v>299</v>
      </c>
      <c r="C1" s="64" t="s">
        <v>300</v>
      </c>
    </row>
    <row r="2" spans="1:3" ht="33.950000000000003">
      <c r="A2" s="65" t="s">
        <v>301</v>
      </c>
      <c r="B2" s="65">
        <v>100</v>
      </c>
      <c r="C2" s="65">
        <v>30</v>
      </c>
    </row>
    <row r="3" spans="1:3" ht="33.950000000000003">
      <c r="A3" s="65" t="s">
        <v>302</v>
      </c>
      <c r="B3" s="65">
        <v>98</v>
      </c>
      <c r="C3" s="65">
        <v>28</v>
      </c>
    </row>
    <row r="4" spans="1:3" ht="33.950000000000003">
      <c r="A4" s="65" t="s">
        <v>303</v>
      </c>
      <c r="B4" s="65">
        <v>101</v>
      </c>
      <c r="C4" s="65">
        <v>25</v>
      </c>
    </row>
    <row r="5" spans="1:3" ht="33.950000000000003">
      <c r="A5" s="65" t="s">
        <v>304</v>
      </c>
      <c r="B5" s="65">
        <v>102</v>
      </c>
      <c r="C5" s="65">
        <v>26</v>
      </c>
    </row>
    <row r="6" spans="1:3" ht="33.950000000000003">
      <c r="A6" s="65" t="s">
        <v>305</v>
      </c>
      <c r="B6" s="65">
        <v>103</v>
      </c>
      <c r="C6" s="65">
        <v>24</v>
      </c>
    </row>
    <row r="7" spans="1:3" ht="33.950000000000003">
      <c r="A7" s="65" t="s">
        <v>306</v>
      </c>
      <c r="B7" s="65">
        <v>99</v>
      </c>
      <c r="C7" s="65">
        <v>22</v>
      </c>
    </row>
    <row r="8" spans="1:3" ht="33.950000000000003">
      <c r="A8" s="65" t="s">
        <v>307</v>
      </c>
      <c r="B8" s="65">
        <v>95</v>
      </c>
      <c r="C8" s="65">
        <v>20</v>
      </c>
    </row>
    <row r="9" spans="1:3" ht="33.950000000000003">
      <c r="A9" s="65" t="s">
        <v>308</v>
      </c>
      <c r="B9" s="65">
        <v>97</v>
      </c>
      <c r="C9" s="65">
        <v>26</v>
      </c>
    </row>
    <row r="10" spans="1:3" ht="33.950000000000003">
      <c r="A10" s="65" t="s">
        <v>309</v>
      </c>
      <c r="B10" s="65">
        <v>95</v>
      </c>
      <c r="C10" s="65">
        <v>25</v>
      </c>
    </row>
    <row r="11" spans="1:3" ht="33.950000000000003">
      <c r="A11" s="65" t="s">
        <v>310</v>
      </c>
      <c r="B11" s="65">
        <v>99</v>
      </c>
      <c r="C11" s="65">
        <v>19</v>
      </c>
    </row>
    <row r="12" spans="1:3" ht="33.950000000000003">
      <c r="A12" s="65" t="s">
        <v>311</v>
      </c>
      <c r="B12" s="65">
        <v>95</v>
      </c>
      <c r="C12" s="65">
        <v>20</v>
      </c>
    </row>
    <row r="13" spans="1:3" ht="33.950000000000003">
      <c r="A13" s="65" t="s">
        <v>312</v>
      </c>
      <c r="B13" s="65">
        <v>97</v>
      </c>
      <c r="C13" s="65">
        <v>18</v>
      </c>
    </row>
    <row r="14" spans="1:3" ht="33.950000000000003">
      <c r="A14" s="65" t="s">
        <v>313</v>
      </c>
      <c r="B14" s="65">
        <v>99</v>
      </c>
      <c r="C14" s="65">
        <v>16</v>
      </c>
    </row>
    <row r="15" spans="1:3" ht="33.950000000000003">
      <c r="A15" s="65" t="s">
        <v>314</v>
      </c>
      <c r="B15" s="65">
        <v>102</v>
      </c>
      <c r="C15" s="65">
        <v>10</v>
      </c>
    </row>
    <row r="16" spans="1:3" ht="33.950000000000003">
      <c r="A16" s="65" t="s">
        <v>315</v>
      </c>
      <c r="B16" s="65">
        <v>99</v>
      </c>
      <c r="C16" s="65">
        <v>12</v>
      </c>
    </row>
    <row r="17" spans="1:3" ht="33.950000000000003">
      <c r="A17" s="65" t="s">
        <v>316</v>
      </c>
      <c r="B17" s="65">
        <v>97</v>
      </c>
      <c r="C17" s="65">
        <v>12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6"/>
  <sheetViews>
    <sheetView workbookViewId="0">
      <selection activeCell="H22" sqref="H22"/>
    </sheetView>
  </sheetViews>
  <sheetFormatPr defaultColWidth="9.140625" defaultRowHeight="14.45"/>
  <cols>
    <col min="1" max="16384" width="9.140625" style="31"/>
  </cols>
  <sheetData>
    <row r="1" spans="1:8" ht="27.95">
      <c r="A1" s="154" t="s">
        <v>317</v>
      </c>
      <c r="B1" s="154" t="s">
        <v>250</v>
      </c>
      <c r="C1" s="154" t="s">
        <v>318</v>
      </c>
    </row>
    <row r="2" spans="1:8">
      <c r="A2" s="155">
        <v>2019</v>
      </c>
      <c r="B2" s="94" t="s">
        <v>319</v>
      </c>
      <c r="C2" s="94">
        <v>0</v>
      </c>
    </row>
    <row r="3" spans="1:8">
      <c r="A3" s="155">
        <v>2019</v>
      </c>
      <c r="B3" s="94" t="s">
        <v>320</v>
      </c>
      <c r="C3" s="94">
        <v>1</v>
      </c>
      <c r="G3" s="31" t="s">
        <v>321</v>
      </c>
      <c r="H3" s="31">
        <f>C26+3*SQRT(C26)</f>
        <v>1.9118518412686318</v>
      </c>
    </row>
    <row r="4" spans="1:8">
      <c r="A4" s="155">
        <v>2019</v>
      </c>
      <c r="B4" s="94" t="s">
        <v>322</v>
      </c>
      <c r="C4" s="94">
        <v>0</v>
      </c>
    </row>
    <row r="5" spans="1:8">
      <c r="A5" s="155">
        <v>2019</v>
      </c>
      <c r="B5" s="94" t="s">
        <v>323</v>
      </c>
      <c r="C5" s="94">
        <v>0</v>
      </c>
    </row>
    <row r="6" spans="1:8">
      <c r="A6" s="155">
        <v>2019</v>
      </c>
      <c r="B6" s="94" t="s">
        <v>324</v>
      </c>
      <c r="C6" s="94">
        <v>0</v>
      </c>
    </row>
    <row r="7" spans="1:8">
      <c r="A7" s="155">
        <v>2019</v>
      </c>
      <c r="B7" s="94" t="s">
        <v>325</v>
      </c>
      <c r="C7" s="94">
        <v>1</v>
      </c>
    </row>
    <row r="8" spans="1:8">
      <c r="A8" s="155">
        <v>2019</v>
      </c>
      <c r="B8" s="94" t="s">
        <v>326</v>
      </c>
      <c r="C8" s="94">
        <v>0</v>
      </c>
    </row>
    <row r="9" spans="1:8">
      <c r="A9" s="155">
        <v>2019</v>
      </c>
      <c r="B9" s="94" t="s">
        <v>327</v>
      </c>
      <c r="C9" s="94">
        <v>0</v>
      </c>
    </row>
    <row r="10" spans="1:8">
      <c r="A10" s="155">
        <v>2019</v>
      </c>
      <c r="B10" s="94" t="s">
        <v>328</v>
      </c>
      <c r="C10" s="94">
        <v>0</v>
      </c>
    </row>
    <row r="11" spans="1:8">
      <c r="A11" s="155">
        <v>2019</v>
      </c>
      <c r="B11" s="94" t="s">
        <v>329</v>
      </c>
      <c r="C11" s="94">
        <v>1</v>
      </c>
    </row>
    <row r="12" spans="1:8">
      <c r="A12" s="155">
        <v>2019</v>
      </c>
      <c r="B12" s="94" t="s">
        <v>330</v>
      </c>
      <c r="C12" s="94">
        <v>0</v>
      </c>
    </row>
    <row r="13" spans="1:8">
      <c r="A13" s="155">
        <v>2019</v>
      </c>
      <c r="B13" s="94" t="s">
        <v>331</v>
      </c>
      <c r="C13" s="94">
        <v>0</v>
      </c>
    </row>
    <row r="14" spans="1:8">
      <c r="A14" s="155">
        <v>2020</v>
      </c>
      <c r="B14" s="94" t="s">
        <v>319</v>
      </c>
      <c r="C14" s="94">
        <v>0</v>
      </c>
    </row>
    <row r="15" spans="1:8">
      <c r="A15" s="155">
        <v>2020</v>
      </c>
      <c r="B15" s="94" t="s">
        <v>320</v>
      </c>
      <c r="C15" s="94">
        <v>2</v>
      </c>
    </row>
    <row r="16" spans="1:8">
      <c r="A16" s="155">
        <v>2020</v>
      </c>
      <c r="B16" s="94" t="s">
        <v>322</v>
      </c>
      <c r="C16" s="94">
        <v>0</v>
      </c>
    </row>
    <row r="17" spans="1:3">
      <c r="A17" s="155">
        <v>2020</v>
      </c>
      <c r="B17" s="94" t="s">
        <v>323</v>
      </c>
      <c r="C17" s="94">
        <v>0</v>
      </c>
    </row>
    <row r="18" spans="1:3">
      <c r="A18" s="155">
        <v>2020</v>
      </c>
      <c r="B18" s="94" t="s">
        <v>324</v>
      </c>
      <c r="C18" s="94">
        <v>0</v>
      </c>
    </row>
    <row r="19" spans="1:3">
      <c r="A19" s="155">
        <v>2020</v>
      </c>
      <c r="B19" s="94" t="s">
        <v>325</v>
      </c>
      <c r="C19" s="94">
        <v>0</v>
      </c>
    </row>
    <row r="20" spans="1:3">
      <c r="A20" s="155">
        <v>2020</v>
      </c>
      <c r="B20" s="94" t="s">
        <v>326</v>
      </c>
      <c r="C20" s="155">
        <v>1</v>
      </c>
    </row>
    <row r="21" spans="1:3">
      <c r="A21" s="155">
        <v>2020</v>
      </c>
      <c r="B21" s="94" t="s">
        <v>327</v>
      </c>
      <c r="C21" s="94">
        <v>0</v>
      </c>
    </row>
    <row r="22" spans="1:3">
      <c r="A22" s="155">
        <v>2020</v>
      </c>
      <c r="B22" s="94" t="s">
        <v>328</v>
      </c>
      <c r="C22" s="94">
        <v>0</v>
      </c>
    </row>
    <row r="23" spans="1:3">
      <c r="A23" s="155">
        <v>2020</v>
      </c>
      <c r="B23" s="94" t="s">
        <v>329</v>
      </c>
      <c r="C23" s="94">
        <v>0</v>
      </c>
    </row>
    <row r="24" spans="1:3">
      <c r="A24" s="155">
        <v>2020</v>
      </c>
      <c r="B24" s="94" t="s">
        <v>330</v>
      </c>
      <c r="C24" s="155">
        <v>1</v>
      </c>
    </row>
    <row r="25" spans="1:3">
      <c r="A25" s="155">
        <v>2020</v>
      </c>
      <c r="B25" s="94" t="s">
        <v>331</v>
      </c>
      <c r="C25" s="94">
        <v>0</v>
      </c>
    </row>
    <row r="26" spans="1:3">
      <c r="B26" s="31" t="s">
        <v>332</v>
      </c>
      <c r="C26" s="31">
        <f>AVERAGE(C2:C25)</f>
        <v>0.29166666666666669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Z83"/>
  <sheetViews>
    <sheetView topLeftCell="K1" zoomScale="70" zoomScaleNormal="70" workbookViewId="0">
      <selection activeCell="S26" sqref="S26"/>
    </sheetView>
  </sheetViews>
  <sheetFormatPr defaultRowHeight="14.45"/>
  <cols>
    <col min="15" max="15" width="14.28515625" customWidth="1"/>
    <col min="16" max="16" width="14.5703125" customWidth="1"/>
    <col min="17" max="17" width="16" customWidth="1"/>
    <col min="19" max="24" width="14.7109375" bestFit="1" customWidth="1"/>
  </cols>
  <sheetData>
    <row r="2" spans="2:26" ht="18">
      <c r="B2" s="142" t="s">
        <v>333</v>
      </c>
      <c r="C2" s="144" t="s">
        <v>334</v>
      </c>
      <c r="D2" s="144"/>
      <c r="E2" s="144" t="s">
        <v>335</v>
      </c>
      <c r="F2" s="144"/>
    </row>
    <row r="3" spans="2:26" ht="17.45">
      <c r="B3" s="143"/>
      <c r="C3" s="66" t="s">
        <v>336</v>
      </c>
      <c r="D3" s="66" t="s">
        <v>337</v>
      </c>
      <c r="E3" s="66" t="s">
        <v>336</v>
      </c>
      <c r="F3" s="66" t="s">
        <v>337</v>
      </c>
      <c r="J3" t="s">
        <v>184</v>
      </c>
      <c r="K3" t="s">
        <v>338</v>
      </c>
      <c r="L3" t="s">
        <v>0</v>
      </c>
      <c r="O3" s="75" t="s">
        <v>339</v>
      </c>
      <c r="P3" s="75" t="s">
        <v>340</v>
      </c>
      <c r="Q3" s="75" t="s">
        <v>341</v>
      </c>
      <c r="S3" s="85" t="s">
        <v>342</v>
      </c>
      <c r="T3" s="85" t="s">
        <v>343</v>
      </c>
      <c r="U3" s="85" t="s">
        <v>344</v>
      </c>
      <c r="V3" s="85" t="s">
        <v>345</v>
      </c>
      <c r="W3" s="85" t="s">
        <v>346</v>
      </c>
      <c r="X3" s="85" t="s">
        <v>347</v>
      </c>
    </row>
    <row r="4" spans="2:26" ht="17.45">
      <c r="B4" s="67">
        <v>1</v>
      </c>
      <c r="C4" s="68" t="s">
        <v>348</v>
      </c>
      <c r="D4" s="68" t="s">
        <v>348</v>
      </c>
      <c r="E4" s="68" t="s">
        <v>348</v>
      </c>
      <c r="F4" s="68" t="s">
        <v>348</v>
      </c>
      <c r="J4">
        <v>1</v>
      </c>
      <c r="K4">
        <v>1</v>
      </c>
      <c r="L4" s="68" t="s">
        <v>348</v>
      </c>
      <c r="O4" s="78">
        <v>1</v>
      </c>
      <c r="P4" s="79" t="s">
        <v>349</v>
      </c>
      <c r="Q4" s="78">
        <v>19.600000000000001</v>
      </c>
      <c r="S4" s="78">
        <v>532.9</v>
      </c>
      <c r="T4" s="78">
        <v>529.1</v>
      </c>
      <c r="U4" s="78">
        <v>531.9</v>
      </c>
      <c r="V4" s="78">
        <v>530.6</v>
      </c>
      <c r="W4" s="78">
        <v>528.9</v>
      </c>
      <c r="X4" s="78">
        <v>527.6</v>
      </c>
    </row>
    <row r="5" spans="2:26" ht="17.45">
      <c r="B5" s="69">
        <v>2</v>
      </c>
      <c r="C5" s="70" t="s">
        <v>350</v>
      </c>
      <c r="D5" s="70" t="s">
        <v>350</v>
      </c>
      <c r="E5" s="70" t="s">
        <v>350</v>
      </c>
      <c r="F5" s="70" t="s">
        <v>350</v>
      </c>
      <c r="J5">
        <v>1</v>
      </c>
      <c r="K5">
        <v>1</v>
      </c>
      <c r="L5" s="68" t="s">
        <v>348</v>
      </c>
      <c r="O5" s="78">
        <v>1</v>
      </c>
      <c r="P5" s="79" t="s">
        <v>349</v>
      </c>
      <c r="Q5" s="78">
        <v>19.600000000000001</v>
      </c>
      <c r="S5" s="78">
        <v>522.4</v>
      </c>
      <c r="T5" s="78">
        <v>530.29999999999995</v>
      </c>
      <c r="U5" s="78">
        <v>534.6</v>
      </c>
      <c r="V5" s="78">
        <v>524.1</v>
      </c>
      <c r="W5" s="78">
        <v>533.29999999999995</v>
      </c>
      <c r="X5" s="78">
        <v>530.70000000000005</v>
      </c>
    </row>
    <row r="6" spans="2:26" ht="17.45">
      <c r="B6" s="69">
        <v>3</v>
      </c>
      <c r="C6" s="70" t="s">
        <v>348</v>
      </c>
      <c r="D6" s="70" t="s">
        <v>348</v>
      </c>
      <c r="E6" s="71" t="s">
        <v>350</v>
      </c>
      <c r="F6" s="71" t="s">
        <v>350</v>
      </c>
      <c r="J6">
        <v>1</v>
      </c>
      <c r="K6">
        <v>2</v>
      </c>
      <c r="L6" s="68" t="s">
        <v>348</v>
      </c>
      <c r="O6" s="78">
        <v>2</v>
      </c>
      <c r="P6" s="79" t="s">
        <v>349</v>
      </c>
      <c r="Q6" s="78">
        <v>19.5</v>
      </c>
      <c r="S6" s="78">
        <v>527.79999999999995</v>
      </c>
      <c r="T6" s="78">
        <v>530.70000000000005</v>
      </c>
      <c r="U6" s="78">
        <v>525.20000000000005</v>
      </c>
      <c r="V6" s="78">
        <v>532.1</v>
      </c>
      <c r="W6" s="78">
        <v>534.29999999999995</v>
      </c>
      <c r="X6" s="78">
        <v>532.5</v>
      </c>
    </row>
    <row r="7" spans="2:26" ht="17.45">
      <c r="B7" s="69">
        <v>4</v>
      </c>
      <c r="C7" s="70" t="s">
        <v>348</v>
      </c>
      <c r="D7" s="70" t="s">
        <v>348</v>
      </c>
      <c r="E7" s="70" t="s">
        <v>348</v>
      </c>
      <c r="F7" s="70" t="s">
        <v>348</v>
      </c>
      <c r="J7">
        <v>1</v>
      </c>
      <c r="K7">
        <v>2</v>
      </c>
      <c r="L7" s="68" t="s">
        <v>348</v>
      </c>
      <c r="O7" s="78">
        <v>2</v>
      </c>
      <c r="P7" s="79" t="s">
        <v>349</v>
      </c>
      <c r="Q7" s="78">
        <v>19.2</v>
      </c>
      <c r="S7" s="78">
        <v>527.1</v>
      </c>
      <c r="T7" s="78">
        <v>529.29999999999995</v>
      </c>
      <c r="U7" s="78">
        <v>529.20000000000005</v>
      </c>
      <c r="V7" s="78">
        <v>534.6</v>
      </c>
      <c r="W7" s="78">
        <v>527.29999999999995</v>
      </c>
      <c r="X7" s="78">
        <v>530.9</v>
      </c>
    </row>
    <row r="8" spans="2:26" ht="17.45">
      <c r="B8" s="69">
        <v>5</v>
      </c>
      <c r="C8" s="70" t="s">
        <v>348</v>
      </c>
      <c r="D8" s="70" t="s">
        <v>348</v>
      </c>
      <c r="E8" s="70" t="s">
        <v>348</v>
      </c>
      <c r="F8" s="70" t="s">
        <v>348</v>
      </c>
      <c r="J8">
        <v>2</v>
      </c>
      <c r="K8">
        <v>1</v>
      </c>
      <c r="L8" s="70" t="s">
        <v>350</v>
      </c>
      <c r="O8" s="78">
        <v>3</v>
      </c>
      <c r="P8" s="79" t="s">
        <v>349</v>
      </c>
      <c r="Q8" s="78">
        <v>19.600000000000001</v>
      </c>
      <c r="S8" s="78">
        <v>518.20000000000005</v>
      </c>
      <c r="T8" s="78">
        <v>527.29999999999995</v>
      </c>
      <c r="U8" s="78">
        <v>538.70000000000005</v>
      </c>
      <c r="V8" s="78">
        <v>529.6</v>
      </c>
      <c r="W8" s="78">
        <v>534.1</v>
      </c>
      <c r="X8" s="78">
        <v>530.20000000000005</v>
      </c>
    </row>
    <row r="9" spans="2:26" ht="17.45">
      <c r="B9" s="69">
        <v>6</v>
      </c>
      <c r="C9" s="70" t="s">
        <v>348</v>
      </c>
      <c r="D9" s="70" t="s">
        <v>348</v>
      </c>
      <c r="E9" s="70" t="s">
        <v>348</v>
      </c>
      <c r="F9" s="70" t="s">
        <v>348</v>
      </c>
      <c r="J9">
        <v>2</v>
      </c>
      <c r="K9">
        <v>1</v>
      </c>
      <c r="L9" s="70" t="s">
        <v>350</v>
      </c>
      <c r="O9" s="78">
        <v>3</v>
      </c>
      <c r="P9" s="79" t="s">
        <v>349</v>
      </c>
      <c r="Q9" s="78">
        <v>19.399999999999999</v>
      </c>
    </row>
    <row r="10" spans="2:26" ht="17.45">
      <c r="B10" s="69">
        <v>7</v>
      </c>
      <c r="C10" s="70" t="s">
        <v>350</v>
      </c>
      <c r="D10" s="70" t="s">
        <v>350</v>
      </c>
      <c r="E10" s="70" t="s">
        <v>350</v>
      </c>
      <c r="F10" s="71" t="s">
        <v>348</v>
      </c>
      <c r="J10">
        <v>2</v>
      </c>
      <c r="K10">
        <v>2</v>
      </c>
      <c r="L10" s="70" t="s">
        <v>350</v>
      </c>
      <c r="O10" s="78">
        <v>4</v>
      </c>
      <c r="P10" s="79" t="s">
        <v>349</v>
      </c>
      <c r="Q10" s="78">
        <v>19.399999999999999</v>
      </c>
    </row>
    <row r="11" spans="2:26" ht="17.45">
      <c r="B11" s="69">
        <v>8</v>
      </c>
      <c r="C11" s="70" t="s">
        <v>348</v>
      </c>
      <c r="D11" s="70" t="s">
        <v>348</v>
      </c>
      <c r="E11" s="70" t="s">
        <v>348</v>
      </c>
      <c r="F11" s="70" t="s">
        <v>348</v>
      </c>
      <c r="J11">
        <v>2</v>
      </c>
      <c r="K11">
        <v>2</v>
      </c>
      <c r="L11" s="70" t="s">
        <v>350</v>
      </c>
      <c r="O11" s="78">
        <v>4</v>
      </c>
      <c r="P11" s="79" t="s">
        <v>349</v>
      </c>
      <c r="Q11" s="78">
        <v>19.3</v>
      </c>
      <c r="T11" s="86" t="s">
        <v>351</v>
      </c>
      <c r="W11" s="75" t="s">
        <v>184</v>
      </c>
      <c r="X11" s="75" t="s">
        <v>165</v>
      </c>
      <c r="Y11" s="75" t="s">
        <v>336</v>
      </c>
      <c r="Z11" s="75" t="s">
        <v>337</v>
      </c>
    </row>
    <row r="12" spans="2:26" ht="17.45">
      <c r="B12" s="69">
        <v>9</v>
      </c>
      <c r="C12" s="70" t="s">
        <v>348</v>
      </c>
      <c r="D12" s="70" t="s">
        <v>348</v>
      </c>
      <c r="E12" s="70" t="s">
        <v>348</v>
      </c>
      <c r="F12" s="70" t="s">
        <v>348</v>
      </c>
      <c r="J12">
        <v>3</v>
      </c>
      <c r="K12">
        <v>1</v>
      </c>
      <c r="L12" s="70" t="s">
        <v>348</v>
      </c>
      <c r="O12" s="78">
        <v>5</v>
      </c>
      <c r="P12" s="79" t="s">
        <v>349</v>
      </c>
      <c r="Q12" s="78">
        <v>19.8</v>
      </c>
      <c r="T12" s="17">
        <v>532.9</v>
      </c>
      <c r="W12" s="76">
        <v>1</v>
      </c>
      <c r="X12" s="76" t="s">
        <v>352</v>
      </c>
      <c r="Y12" s="77">
        <v>852.9</v>
      </c>
      <c r="Z12" s="77">
        <v>851.7</v>
      </c>
    </row>
    <row r="13" spans="2:26" ht="17.45">
      <c r="B13" s="69">
        <v>10</v>
      </c>
      <c r="C13" s="70" t="s">
        <v>348</v>
      </c>
      <c r="D13" s="70" t="s">
        <v>348</v>
      </c>
      <c r="E13" s="70" t="s">
        <v>348</v>
      </c>
      <c r="F13" s="70" t="s">
        <v>348</v>
      </c>
      <c r="J13">
        <v>3</v>
      </c>
      <c r="K13">
        <v>1</v>
      </c>
      <c r="L13" s="70" t="s">
        <v>348</v>
      </c>
      <c r="O13" s="78">
        <v>5</v>
      </c>
      <c r="P13" s="79" t="s">
        <v>349</v>
      </c>
      <c r="Q13" s="78">
        <v>19.899999999999999</v>
      </c>
      <c r="T13" s="17">
        <v>522.4</v>
      </c>
      <c r="W13" s="81">
        <v>1</v>
      </c>
      <c r="X13" s="81" t="s">
        <v>353</v>
      </c>
      <c r="Y13" s="77">
        <v>852.8</v>
      </c>
      <c r="Z13" s="77">
        <v>851.2</v>
      </c>
    </row>
    <row r="14" spans="2:26" ht="17.45">
      <c r="B14" s="69">
        <v>11</v>
      </c>
      <c r="C14" s="70" t="s">
        <v>348</v>
      </c>
      <c r="D14" s="70" t="s">
        <v>348</v>
      </c>
      <c r="E14" s="70" t="s">
        <v>348</v>
      </c>
      <c r="F14" s="70" t="s">
        <v>348</v>
      </c>
      <c r="J14">
        <v>3</v>
      </c>
      <c r="K14">
        <v>2</v>
      </c>
      <c r="L14" s="71" t="s">
        <v>350</v>
      </c>
      <c r="O14" s="78">
        <v>1</v>
      </c>
      <c r="P14" s="79" t="s">
        <v>354</v>
      </c>
      <c r="Q14" s="78">
        <v>19.399999999999999</v>
      </c>
      <c r="T14" s="17">
        <v>527.79999999999995</v>
      </c>
      <c r="W14" s="81">
        <v>1</v>
      </c>
      <c r="X14" s="81" t="s">
        <v>355</v>
      </c>
      <c r="Y14" s="77">
        <v>852.5</v>
      </c>
      <c r="Z14" s="77">
        <v>850.7</v>
      </c>
    </row>
    <row r="15" spans="2:26" ht="17.45">
      <c r="B15" s="69">
        <v>12</v>
      </c>
      <c r="C15" s="71" t="s">
        <v>350</v>
      </c>
      <c r="D15" s="71" t="s">
        <v>350</v>
      </c>
      <c r="E15" s="70" t="s">
        <v>348</v>
      </c>
      <c r="F15" s="70" t="s">
        <v>348</v>
      </c>
      <c r="J15">
        <v>3</v>
      </c>
      <c r="K15">
        <v>2</v>
      </c>
      <c r="L15" s="71" t="s">
        <v>350</v>
      </c>
      <c r="O15" s="78">
        <v>1</v>
      </c>
      <c r="P15" s="79" t="s">
        <v>354</v>
      </c>
      <c r="Q15" s="78">
        <v>19.7</v>
      </c>
      <c r="T15" s="17">
        <v>527.1</v>
      </c>
      <c r="W15" s="81">
        <v>2</v>
      </c>
      <c r="X15" s="81" t="s">
        <v>352</v>
      </c>
      <c r="Y15" s="77">
        <v>851.8</v>
      </c>
      <c r="Z15" s="77">
        <v>851.1</v>
      </c>
    </row>
    <row r="16" spans="2:26" ht="17.45">
      <c r="B16" s="69">
        <v>13</v>
      </c>
      <c r="C16" s="70" t="s">
        <v>348</v>
      </c>
      <c r="D16" s="70" t="s">
        <v>348</v>
      </c>
      <c r="E16" s="70" t="s">
        <v>348</v>
      </c>
      <c r="F16" s="71" t="s">
        <v>350</v>
      </c>
      <c r="J16">
        <v>4</v>
      </c>
      <c r="K16">
        <v>1</v>
      </c>
      <c r="L16" s="70" t="s">
        <v>348</v>
      </c>
      <c r="O16" s="78">
        <v>2</v>
      </c>
      <c r="P16" s="79" t="s">
        <v>354</v>
      </c>
      <c r="Q16" s="78">
        <v>19.3</v>
      </c>
      <c r="T16" s="17">
        <v>518.20000000000005</v>
      </c>
      <c r="W16" s="81">
        <v>2</v>
      </c>
      <c r="X16" s="81" t="s">
        <v>353</v>
      </c>
      <c r="Y16" s="77">
        <v>849.3</v>
      </c>
      <c r="Z16" s="77">
        <v>853.2</v>
      </c>
    </row>
    <row r="17" spans="2:26" ht="17.45">
      <c r="B17" s="69">
        <v>14</v>
      </c>
      <c r="C17" s="70" t="s">
        <v>348</v>
      </c>
      <c r="D17" s="70" t="s">
        <v>348</v>
      </c>
      <c r="E17" s="70" t="s">
        <v>348</v>
      </c>
      <c r="F17" s="70" t="s">
        <v>348</v>
      </c>
      <c r="J17">
        <v>4</v>
      </c>
      <c r="K17">
        <v>1</v>
      </c>
      <c r="L17" s="70" t="s">
        <v>348</v>
      </c>
      <c r="O17" s="78">
        <v>2</v>
      </c>
      <c r="P17" s="79" t="s">
        <v>354</v>
      </c>
      <c r="Q17" s="78">
        <v>19.399999999999999</v>
      </c>
      <c r="T17" s="17">
        <v>529.1</v>
      </c>
      <c r="W17" s="81">
        <v>2</v>
      </c>
      <c r="X17" s="81" t="s">
        <v>355</v>
      </c>
      <c r="Y17" s="77">
        <v>848.3</v>
      </c>
      <c r="Z17" s="77">
        <v>851.4</v>
      </c>
    </row>
    <row r="18" spans="2:26" ht="17.45">
      <c r="B18" s="69">
        <v>15</v>
      </c>
      <c r="C18" s="70" t="s">
        <v>348</v>
      </c>
      <c r="D18" s="70" t="s">
        <v>348</v>
      </c>
      <c r="E18" s="70" t="s">
        <v>348</v>
      </c>
      <c r="F18" s="70" t="s">
        <v>348</v>
      </c>
      <c r="J18">
        <v>4</v>
      </c>
      <c r="K18">
        <v>2</v>
      </c>
      <c r="L18" s="70" t="s">
        <v>348</v>
      </c>
      <c r="O18" s="78">
        <v>3</v>
      </c>
      <c r="P18" s="79" t="s">
        <v>354</v>
      </c>
      <c r="Q18" s="78">
        <v>19.5</v>
      </c>
      <c r="T18" s="17">
        <v>530.29999999999995</v>
      </c>
      <c r="W18" s="81">
        <v>3</v>
      </c>
      <c r="X18" s="81" t="s">
        <v>352</v>
      </c>
      <c r="Y18" s="77">
        <v>851.5</v>
      </c>
      <c r="Z18" s="77">
        <v>849.4</v>
      </c>
    </row>
    <row r="19" spans="2:26" ht="17.45">
      <c r="B19" s="69">
        <v>16</v>
      </c>
      <c r="C19" s="70" t="s">
        <v>348</v>
      </c>
      <c r="D19" s="70" t="s">
        <v>348</v>
      </c>
      <c r="E19" s="70" t="s">
        <v>348</v>
      </c>
      <c r="F19" s="70" t="s">
        <v>348</v>
      </c>
      <c r="J19">
        <v>4</v>
      </c>
      <c r="K19">
        <v>2</v>
      </c>
      <c r="L19" s="70" t="s">
        <v>348</v>
      </c>
      <c r="O19" s="78">
        <v>3</v>
      </c>
      <c r="P19" s="79" t="s">
        <v>354</v>
      </c>
      <c r="Q19" s="78">
        <v>19.600000000000001</v>
      </c>
      <c r="T19" s="17">
        <v>530.70000000000005</v>
      </c>
      <c r="W19" s="81">
        <v>3</v>
      </c>
      <c r="X19" s="81" t="s">
        <v>353</v>
      </c>
      <c r="Y19" s="77">
        <v>851.2</v>
      </c>
      <c r="Z19" s="77">
        <v>850.3</v>
      </c>
    </row>
    <row r="20" spans="2:26" ht="17.45">
      <c r="B20" s="69">
        <v>17</v>
      </c>
      <c r="C20" s="70" t="s">
        <v>348</v>
      </c>
      <c r="D20" s="70" t="s">
        <v>348</v>
      </c>
      <c r="E20" s="70" t="s">
        <v>348</v>
      </c>
      <c r="F20" s="70" t="s">
        <v>348</v>
      </c>
      <c r="J20">
        <v>5</v>
      </c>
      <c r="K20">
        <v>1</v>
      </c>
      <c r="L20" s="70" t="s">
        <v>348</v>
      </c>
      <c r="O20" s="78">
        <v>4</v>
      </c>
      <c r="P20" s="79" t="s">
        <v>354</v>
      </c>
      <c r="Q20" s="78">
        <v>19.5</v>
      </c>
      <c r="T20" s="17">
        <v>529.29999999999995</v>
      </c>
      <c r="W20" s="81">
        <v>3</v>
      </c>
      <c r="X20" s="81" t="s">
        <v>355</v>
      </c>
      <c r="Y20" s="77">
        <v>850.8</v>
      </c>
      <c r="Z20" s="77">
        <v>852.8</v>
      </c>
    </row>
    <row r="21" spans="2:26" ht="17.45">
      <c r="B21" s="69">
        <v>18</v>
      </c>
      <c r="C21" s="70" t="s">
        <v>348</v>
      </c>
      <c r="D21" s="70" t="s">
        <v>348</v>
      </c>
      <c r="E21" s="70" t="s">
        <v>348</v>
      </c>
      <c r="F21" s="70" t="s">
        <v>348</v>
      </c>
      <c r="J21">
        <v>5</v>
      </c>
      <c r="K21">
        <v>1</v>
      </c>
      <c r="L21" s="70" t="s">
        <v>348</v>
      </c>
      <c r="O21" s="78">
        <v>4</v>
      </c>
      <c r="P21" s="79" t="s">
        <v>354</v>
      </c>
      <c r="Q21" s="78">
        <v>19.600000000000001</v>
      </c>
      <c r="T21" s="17">
        <v>527.29999999999995</v>
      </c>
      <c r="W21" s="81">
        <v>4</v>
      </c>
      <c r="X21" s="81" t="s">
        <v>352</v>
      </c>
      <c r="Y21" s="77">
        <v>849.7</v>
      </c>
      <c r="Z21" s="77">
        <v>849.1</v>
      </c>
    </row>
    <row r="22" spans="2:26" ht="17.45">
      <c r="B22" s="69">
        <v>19</v>
      </c>
      <c r="C22" s="70" t="s">
        <v>348</v>
      </c>
      <c r="D22" s="70" t="s">
        <v>348</v>
      </c>
      <c r="E22" s="70" t="s">
        <v>348</v>
      </c>
      <c r="F22" s="70" t="s">
        <v>348</v>
      </c>
      <c r="J22">
        <v>5</v>
      </c>
      <c r="K22">
        <v>2</v>
      </c>
      <c r="L22" s="70" t="s">
        <v>348</v>
      </c>
      <c r="O22" s="78">
        <v>5</v>
      </c>
      <c r="P22" s="79" t="s">
        <v>354</v>
      </c>
      <c r="Q22" s="78">
        <v>19.899999999999999</v>
      </c>
      <c r="T22" s="17">
        <v>531.9</v>
      </c>
      <c r="W22" s="81">
        <v>4</v>
      </c>
      <c r="X22" s="81" t="s">
        <v>353</v>
      </c>
      <c r="Y22" s="77">
        <v>849.6</v>
      </c>
      <c r="Z22" s="77">
        <v>847.5</v>
      </c>
    </row>
    <row r="23" spans="2:26" ht="17.45">
      <c r="B23" s="72">
        <v>20</v>
      </c>
      <c r="C23" s="73" t="s">
        <v>348</v>
      </c>
      <c r="D23" s="74" t="s">
        <v>350</v>
      </c>
      <c r="E23" s="73" t="s">
        <v>348</v>
      </c>
      <c r="F23" s="73" t="s">
        <v>348</v>
      </c>
      <c r="J23">
        <v>5</v>
      </c>
      <c r="K23">
        <v>2</v>
      </c>
      <c r="L23" s="70" t="s">
        <v>348</v>
      </c>
      <c r="O23" s="78">
        <v>5</v>
      </c>
      <c r="P23" s="79" t="s">
        <v>354</v>
      </c>
      <c r="Q23" s="78">
        <v>19.8</v>
      </c>
      <c r="T23" s="17">
        <v>534.6</v>
      </c>
      <c r="W23" s="81">
        <v>4</v>
      </c>
      <c r="X23" s="81" t="s">
        <v>355</v>
      </c>
      <c r="Y23" s="77">
        <v>851.5</v>
      </c>
      <c r="Z23" s="77">
        <v>850.2</v>
      </c>
    </row>
    <row r="24" spans="2:26" ht="17.45">
      <c r="J24">
        <v>6</v>
      </c>
      <c r="K24">
        <v>1</v>
      </c>
      <c r="L24" s="70" t="s">
        <v>348</v>
      </c>
      <c r="T24" s="17">
        <v>525.20000000000005</v>
      </c>
      <c r="W24" s="81">
        <v>5</v>
      </c>
      <c r="X24" s="81" t="s">
        <v>352</v>
      </c>
      <c r="Y24" s="77">
        <v>849.9</v>
      </c>
      <c r="Z24" s="77">
        <v>848</v>
      </c>
    </row>
    <row r="25" spans="2:26" ht="17.45">
      <c r="J25">
        <v>6</v>
      </c>
      <c r="K25">
        <v>1</v>
      </c>
      <c r="L25" s="70" t="s">
        <v>348</v>
      </c>
      <c r="T25" s="17">
        <v>529.20000000000005</v>
      </c>
      <c r="W25" s="81">
        <v>5</v>
      </c>
      <c r="X25" s="81" t="s">
        <v>353</v>
      </c>
      <c r="Y25" s="77">
        <v>851.2</v>
      </c>
      <c r="Z25" s="77">
        <v>852.1</v>
      </c>
    </row>
    <row r="26" spans="2:26" ht="17.45">
      <c r="J26">
        <v>6</v>
      </c>
      <c r="K26">
        <v>2</v>
      </c>
      <c r="L26" s="70" t="s">
        <v>348</v>
      </c>
      <c r="T26" s="17">
        <v>538.70000000000005</v>
      </c>
      <c r="W26" s="82">
        <v>5</v>
      </c>
      <c r="X26" s="82" t="s">
        <v>355</v>
      </c>
      <c r="Y26" s="77">
        <v>850.5</v>
      </c>
      <c r="Z26" s="77">
        <v>848.9</v>
      </c>
    </row>
    <row r="27" spans="2:26" ht="17.45">
      <c r="J27">
        <v>6</v>
      </c>
      <c r="K27">
        <v>2</v>
      </c>
      <c r="L27" s="70" t="s">
        <v>348</v>
      </c>
      <c r="T27" s="17">
        <v>530.6</v>
      </c>
    </row>
    <row r="28" spans="2:26" ht="17.45">
      <c r="J28">
        <v>7</v>
      </c>
      <c r="K28">
        <v>1</v>
      </c>
      <c r="L28" s="70" t="s">
        <v>350</v>
      </c>
      <c r="T28" s="17">
        <v>524.1</v>
      </c>
    </row>
    <row r="29" spans="2:26" ht="17.45">
      <c r="J29">
        <v>7</v>
      </c>
      <c r="K29">
        <v>1</v>
      </c>
      <c r="L29" s="70" t="s">
        <v>350</v>
      </c>
      <c r="T29" s="17">
        <v>532.1</v>
      </c>
    </row>
    <row r="30" spans="2:26" ht="17.45">
      <c r="J30">
        <v>7</v>
      </c>
      <c r="K30">
        <v>2</v>
      </c>
      <c r="L30" s="70" t="s">
        <v>350</v>
      </c>
      <c r="T30" s="17">
        <v>534.6</v>
      </c>
    </row>
    <row r="31" spans="2:26" ht="17.45">
      <c r="J31">
        <v>7</v>
      </c>
      <c r="K31">
        <v>2</v>
      </c>
      <c r="L31" s="71" t="s">
        <v>348</v>
      </c>
      <c r="T31" s="17">
        <v>529.6</v>
      </c>
    </row>
    <row r="32" spans="2:26" ht="17.45">
      <c r="J32">
        <v>8</v>
      </c>
      <c r="K32">
        <v>1</v>
      </c>
      <c r="L32" s="70" t="s">
        <v>348</v>
      </c>
      <c r="T32" s="17">
        <v>528.9</v>
      </c>
    </row>
    <row r="33" spans="10:20" ht="17.45">
      <c r="J33">
        <v>8</v>
      </c>
      <c r="K33">
        <v>1</v>
      </c>
      <c r="L33" s="70" t="s">
        <v>348</v>
      </c>
      <c r="T33" s="17">
        <v>533.29999999999995</v>
      </c>
    </row>
    <row r="34" spans="10:20" ht="17.45">
      <c r="J34">
        <v>8</v>
      </c>
      <c r="K34">
        <v>2</v>
      </c>
      <c r="L34" s="70" t="s">
        <v>348</v>
      </c>
      <c r="T34" s="17">
        <v>534.29999999999995</v>
      </c>
    </row>
    <row r="35" spans="10:20" ht="17.45">
      <c r="J35">
        <v>8</v>
      </c>
      <c r="K35">
        <v>2</v>
      </c>
      <c r="L35" s="70" t="s">
        <v>348</v>
      </c>
      <c r="T35" s="17">
        <v>527.29999999999995</v>
      </c>
    </row>
    <row r="36" spans="10:20" ht="17.45">
      <c r="J36">
        <v>9</v>
      </c>
      <c r="K36">
        <v>1</v>
      </c>
      <c r="L36" s="70" t="s">
        <v>348</v>
      </c>
      <c r="T36" s="17">
        <v>534.1</v>
      </c>
    </row>
    <row r="37" spans="10:20" ht="17.45">
      <c r="J37">
        <v>9</v>
      </c>
      <c r="K37">
        <v>1</v>
      </c>
      <c r="L37" s="70" t="s">
        <v>348</v>
      </c>
      <c r="T37" s="17">
        <v>527.6</v>
      </c>
    </row>
    <row r="38" spans="10:20" ht="17.45">
      <c r="J38">
        <v>9</v>
      </c>
      <c r="K38">
        <v>2</v>
      </c>
      <c r="L38" s="70" t="s">
        <v>348</v>
      </c>
      <c r="T38" s="17">
        <v>530.70000000000005</v>
      </c>
    </row>
    <row r="39" spans="10:20" ht="17.45">
      <c r="J39">
        <v>9</v>
      </c>
      <c r="K39">
        <v>2</v>
      </c>
      <c r="L39" s="70" t="s">
        <v>348</v>
      </c>
      <c r="T39" s="17">
        <v>532.5</v>
      </c>
    </row>
    <row r="40" spans="10:20" ht="17.45">
      <c r="J40">
        <v>10</v>
      </c>
      <c r="K40">
        <v>1</v>
      </c>
      <c r="L40" s="70" t="s">
        <v>348</v>
      </c>
      <c r="T40" s="17">
        <v>530.9</v>
      </c>
    </row>
    <row r="41" spans="10:20" ht="17.45">
      <c r="J41">
        <v>10</v>
      </c>
      <c r="K41">
        <v>1</v>
      </c>
      <c r="L41" s="70" t="s">
        <v>348</v>
      </c>
      <c r="T41" s="17">
        <v>530.20000000000005</v>
      </c>
    </row>
    <row r="42" spans="10:20" ht="17.45">
      <c r="J42">
        <v>10</v>
      </c>
      <c r="K42">
        <v>2</v>
      </c>
      <c r="L42" s="70" t="s">
        <v>348</v>
      </c>
    </row>
    <row r="43" spans="10:20" ht="17.45">
      <c r="J43">
        <v>10</v>
      </c>
      <c r="K43">
        <v>2</v>
      </c>
      <c r="L43" s="70" t="s">
        <v>348</v>
      </c>
    </row>
    <row r="44" spans="10:20" ht="17.45">
      <c r="J44">
        <v>11</v>
      </c>
      <c r="K44">
        <v>1</v>
      </c>
      <c r="L44" s="70" t="s">
        <v>348</v>
      </c>
    </row>
    <row r="45" spans="10:20" ht="17.45">
      <c r="J45">
        <v>11</v>
      </c>
      <c r="K45">
        <v>1</v>
      </c>
      <c r="L45" s="70" t="s">
        <v>348</v>
      </c>
    </row>
    <row r="46" spans="10:20" ht="17.45">
      <c r="J46">
        <v>11</v>
      </c>
      <c r="K46">
        <v>2</v>
      </c>
      <c r="L46" s="70" t="s">
        <v>348</v>
      </c>
    </row>
    <row r="47" spans="10:20" ht="17.45">
      <c r="J47">
        <v>11</v>
      </c>
      <c r="K47">
        <v>2</v>
      </c>
      <c r="L47" s="70" t="s">
        <v>348</v>
      </c>
    </row>
    <row r="48" spans="10:20" ht="17.45">
      <c r="J48">
        <v>12</v>
      </c>
      <c r="K48">
        <v>1</v>
      </c>
      <c r="L48" s="71" t="s">
        <v>350</v>
      </c>
    </row>
    <row r="49" spans="10:12" ht="17.45">
      <c r="J49">
        <v>12</v>
      </c>
      <c r="K49">
        <v>1</v>
      </c>
      <c r="L49" s="71" t="s">
        <v>350</v>
      </c>
    </row>
    <row r="50" spans="10:12" ht="17.45">
      <c r="J50">
        <v>12</v>
      </c>
      <c r="K50">
        <v>2</v>
      </c>
      <c r="L50" s="70" t="s">
        <v>348</v>
      </c>
    </row>
    <row r="51" spans="10:12" ht="17.45">
      <c r="J51">
        <v>12</v>
      </c>
      <c r="K51">
        <v>2</v>
      </c>
      <c r="L51" s="70" t="s">
        <v>348</v>
      </c>
    </row>
    <row r="52" spans="10:12" ht="17.45">
      <c r="J52">
        <v>13</v>
      </c>
      <c r="K52">
        <v>1</v>
      </c>
      <c r="L52" s="70" t="s">
        <v>348</v>
      </c>
    </row>
    <row r="53" spans="10:12" ht="17.45">
      <c r="J53">
        <v>13</v>
      </c>
      <c r="K53">
        <v>1</v>
      </c>
      <c r="L53" s="70" t="s">
        <v>348</v>
      </c>
    </row>
    <row r="54" spans="10:12" ht="17.45">
      <c r="J54">
        <v>13</v>
      </c>
      <c r="K54">
        <v>2</v>
      </c>
      <c r="L54" s="70" t="s">
        <v>348</v>
      </c>
    </row>
    <row r="55" spans="10:12" ht="17.45">
      <c r="J55">
        <v>13</v>
      </c>
      <c r="K55">
        <v>2</v>
      </c>
      <c r="L55" s="71" t="s">
        <v>350</v>
      </c>
    </row>
    <row r="56" spans="10:12" ht="17.45">
      <c r="J56">
        <v>14</v>
      </c>
      <c r="K56">
        <v>1</v>
      </c>
      <c r="L56" s="70" t="s">
        <v>348</v>
      </c>
    </row>
    <row r="57" spans="10:12" ht="17.45">
      <c r="J57">
        <v>14</v>
      </c>
      <c r="K57">
        <v>1</v>
      </c>
      <c r="L57" s="70" t="s">
        <v>348</v>
      </c>
    </row>
    <row r="58" spans="10:12" ht="17.45">
      <c r="J58">
        <v>14</v>
      </c>
      <c r="K58">
        <v>2</v>
      </c>
      <c r="L58" s="70" t="s">
        <v>348</v>
      </c>
    </row>
    <row r="59" spans="10:12" ht="17.45">
      <c r="J59">
        <v>14</v>
      </c>
      <c r="K59">
        <v>2</v>
      </c>
      <c r="L59" s="70" t="s">
        <v>348</v>
      </c>
    </row>
    <row r="60" spans="10:12" ht="17.45">
      <c r="J60">
        <v>15</v>
      </c>
      <c r="K60">
        <v>1</v>
      </c>
      <c r="L60" s="70" t="s">
        <v>348</v>
      </c>
    </row>
    <row r="61" spans="10:12" ht="17.45">
      <c r="J61">
        <v>15</v>
      </c>
      <c r="K61">
        <v>1</v>
      </c>
      <c r="L61" s="70" t="s">
        <v>348</v>
      </c>
    </row>
    <row r="62" spans="10:12" ht="17.45">
      <c r="J62">
        <v>15</v>
      </c>
      <c r="K62">
        <v>2</v>
      </c>
      <c r="L62" s="70" t="s">
        <v>348</v>
      </c>
    </row>
    <row r="63" spans="10:12" ht="17.45">
      <c r="J63">
        <v>15</v>
      </c>
      <c r="K63">
        <v>2</v>
      </c>
      <c r="L63" s="70" t="s">
        <v>348</v>
      </c>
    </row>
    <row r="64" spans="10:12" ht="17.45">
      <c r="J64">
        <v>16</v>
      </c>
      <c r="K64">
        <v>1</v>
      </c>
      <c r="L64" s="70" t="s">
        <v>348</v>
      </c>
    </row>
    <row r="65" spans="10:12" ht="17.45">
      <c r="J65">
        <v>16</v>
      </c>
      <c r="K65">
        <v>1</v>
      </c>
      <c r="L65" s="70" t="s">
        <v>348</v>
      </c>
    </row>
    <row r="66" spans="10:12" ht="17.45">
      <c r="J66">
        <v>16</v>
      </c>
      <c r="K66">
        <v>2</v>
      </c>
      <c r="L66" s="70" t="s">
        <v>348</v>
      </c>
    </row>
    <row r="67" spans="10:12" ht="17.45">
      <c r="J67">
        <v>16</v>
      </c>
      <c r="K67">
        <v>2</v>
      </c>
      <c r="L67" s="70" t="s">
        <v>348</v>
      </c>
    </row>
    <row r="68" spans="10:12" ht="17.45">
      <c r="J68">
        <v>17</v>
      </c>
      <c r="K68">
        <v>1</v>
      </c>
      <c r="L68" s="70" t="s">
        <v>348</v>
      </c>
    </row>
    <row r="69" spans="10:12" ht="17.45">
      <c r="J69">
        <v>17</v>
      </c>
      <c r="K69">
        <v>1</v>
      </c>
      <c r="L69" s="70" t="s">
        <v>348</v>
      </c>
    </row>
    <row r="70" spans="10:12" ht="17.45">
      <c r="J70">
        <v>17</v>
      </c>
      <c r="K70">
        <v>2</v>
      </c>
      <c r="L70" s="70" t="s">
        <v>348</v>
      </c>
    </row>
    <row r="71" spans="10:12" ht="17.45">
      <c r="J71">
        <v>17</v>
      </c>
      <c r="K71">
        <v>2</v>
      </c>
      <c r="L71" s="70" t="s">
        <v>348</v>
      </c>
    </row>
    <row r="72" spans="10:12" ht="17.45">
      <c r="J72">
        <v>18</v>
      </c>
      <c r="K72">
        <v>1</v>
      </c>
      <c r="L72" s="70" t="s">
        <v>348</v>
      </c>
    </row>
    <row r="73" spans="10:12" ht="17.45">
      <c r="J73">
        <v>18</v>
      </c>
      <c r="K73">
        <v>1</v>
      </c>
      <c r="L73" s="70" t="s">
        <v>348</v>
      </c>
    </row>
    <row r="74" spans="10:12" ht="17.45">
      <c r="J74">
        <v>18</v>
      </c>
      <c r="K74">
        <v>2</v>
      </c>
      <c r="L74" s="70" t="s">
        <v>348</v>
      </c>
    </row>
    <row r="75" spans="10:12" ht="17.45">
      <c r="J75">
        <v>18</v>
      </c>
      <c r="K75">
        <v>2</v>
      </c>
      <c r="L75" s="70" t="s">
        <v>348</v>
      </c>
    </row>
    <row r="76" spans="10:12" ht="17.45">
      <c r="J76">
        <v>19</v>
      </c>
      <c r="K76">
        <v>1</v>
      </c>
      <c r="L76" s="70" t="s">
        <v>348</v>
      </c>
    </row>
    <row r="77" spans="10:12" ht="17.45">
      <c r="J77">
        <v>19</v>
      </c>
      <c r="K77">
        <v>1</v>
      </c>
      <c r="L77" s="70" t="s">
        <v>348</v>
      </c>
    </row>
    <row r="78" spans="10:12" ht="17.45">
      <c r="J78">
        <v>19</v>
      </c>
      <c r="K78">
        <v>2</v>
      </c>
      <c r="L78" s="70" t="s">
        <v>348</v>
      </c>
    </row>
    <row r="79" spans="10:12" ht="17.45">
      <c r="J79">
        <v>19</v>
      </c>
      <c r="K79">
        <v>2</v>
      </c>
      <c r="L79" s="70" t="s">
        <v>348</v>
      </c>
    </row>
    <row r="80" spans="10:12" ht="17.45">
      <c r="J80">
        <v>20</v>
      </c>
      <c r="K80">
        <v>1</v>
      </c>
      <c r="L80" s="73" t="s">
        <v>348</v>
      </c>
    </row>
    <row r="81" spans="10:12" ht="17.45">
      <c r="J81">
        <v>20</v>
      </c>
      <c r="K81">
        <v>1</v>
      </c>
      <c r="L81" s="74" t="s">
        <v>350</v>
      </c>
    </row>
    <row r="82" spans="10:12" ht="17.45">
      <c r="J82">
        <v>20</v>
      </c>
      <c r="K82">
        <v>2</v>
      </c>
      <c r="L82" s="73" t="s">
        <v>348</v>
      </c>
    </row>
    <row r="83" spans="10:12" ht="17.45">
      <c r="J83">
        <v>20</v>
      </c>
      <c r="K83">
        <v>2</v>
      </c>
      <c r="L83" s="73" t="s">
        <v>348</v>
      </c>
    </row>
  </sheetData>
  <mergeCells count="3">
    <mergeCell ref="B2:B3"/>
    <mergeCell ref="C2:D2"/>
    <mergeCell ref="E2:F2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1"/>
  <sheetViews>
    <sheetView zoomScale="85" zoomScaleNormal="85" workbookViewId="0">
      <selection activeCell="C9" sqref="A1:D16"/>
    </sheetView>
  </sheetViews>
  <sheetFormatPr defaultRowHeight="15.6"/>
  <cols>
    <col min="7" max="7" width="14.28515625" style="83" customWidth="1"/>
    <col min="8" max="8" width="14.5703125" style="84" customWidth="1"/>
    <col min="9" max="9" width="16" style="83" customWidth="1"/>
    <col min="263" max="263" width="14.28515625" customWidth="1"/>
    <col min="264" max="264" width="14.5703125" customWidth="1"/>
    <col min="265" max="265" width="16" customWidth="1"/>
    <col min="519" max="519" width="14.28515625" customWidth="1"/>
    <col min="520" max="520" width="14.5703125" customWidth="1"/>
    <col min="521" max="521" width="16" customWidth="1"/>
    <col min="775" max="775" width="14.28515625" customWidth="1"/>
    <col min="776" max="776" width="14.5703125" customWidth="1"/>
    <col min="777" max="777" width="16" customWidth="1"/>
    <col min="1031" max="1031" width="14.28515625" customWidth="1"/>
    <col min="1032" max="1032" width="14.5703125" customWidth="1"/>
    <col min="1033" max="1033" width="16" customWidth="1"/>
    <col min="1287" max="1287" width="14.28515625" customWidth="1"/>
    <col min="1288" max="1288" width="14.5703125" customWidth="1"/>
    <col min="1289" max="1289" width="16" customWidth="1"/>
    <col min="1543" max="1543" width="14.28515625" customWidth="1"/>
    <col min="1544" max="1544" width="14.5703125" customWidth="1"/>
    <col min="1545" max="1545" width="16" customWidth="1"/>
    <col min="1799" max="1799" width="14.28515625" customWidth="1"/>
    <col min="1800" max="1800" width="14.5703125" customWidth="1"/>
    <col min="1801" max="1801" width="16" customWidth="1"/>
    <col min="2055" max="2055" width="14.28515625" customWidth="1"/>
    <col min="2056" max="2056" width="14.5703125" customWidth="1"/>
    <col min="2057" max="2057" width="16" customWidth="1"/>
    <col min="2311" max="2311" width="14.28515625" customWidth="1"/>
    <col min="2312" max="2312" width="14.5703125" customWidth="1"/>
    <col min="2313" max="2313" width="16" customWidth="1"/>
    <col min="2567" max="2567" width="14.28515625" customWidth="1"/>
    <col min="2568" max="2568" width="14.5703125" customWidth="1"/>
    <col min="2569" max="2569" width="16" customWidth="1"/>
    <col min="2823" max="2823" width="14.28515625" customWidth="1"/>
    <col min="2824" max="2824" width="14.5703125" customWidth="1"/>
    <col min="2825" max="2825" width="16" customWidth="1"/>
    <col min="3079" max="3079" width="14.28515625" customWidth="1"/>
    <col min="3080" max="3080" width="14.5703125" customWidth="1"/>
    <col min="3081" max="3081" width="16" customWidth="1"/>
    <col min="3335" max="3335" width="14.28515625" customWidth="1"/>
    <col min="3336" max="3336" width="14.5703125" customWidth="1"/>
    <col min="3337" max="3337" width="16" customWidth="1"/>
    <col min="3591" max="3591" width="14.28515625" customWidth="1"/>
    <col min="3592" max="3592" width="14.5703125" customWidth="1"/>
    <col min="3593" max="3593" width="16" customWidth="1"/>
    <col min="3847" max="3847" width="14.28515625" customWidth="1"/>
    <col min="3848" max="3848" width="14.5703125" customWidth="1"/>
    <col min="3849" max="3849" width="16" customWidth="1"/>
    <col min="4103" max="4103" width="14.28515625" customWidth="1"/>
    <col min="4104" max="4104" width="14.5703125" customWidth="1"/>
    <col min="4105" max="4105" width="16" customWidth="1"/>
    <col min="4359" max="4359" width="14.28515625" customWidth="1"/>
    <col min="4360" max="4360" width="14.5703125" customWidth="1"/>
    <col min="4361" max="4361" width="16" customWidth="1"/>
    <col min="4615" max="4615" width="14.28515625" customWidth="1"/>
    <col min="4616" max="4616" width="14.5703125" customWidth="1"/>
    <col min="4617" max="4617" width="16" customWidth="1"/>
    <col min="4871" max="4871" width="14.28515625" customWidth="1"/>
    <col min="4872" max="4872" width="14.5703125" customWidth="1"/>
    <col min="4873" max="4873" width="16" customWidth="1"/>
    <col min="5127" max="5127" width="14.28515625" customWidth="1"/>
    <col min="5128" max="5128" width="14.5703125" customWidth="1"/>
    <col min="5129" max="5129" width="16" customWidth="1"/>
    <col min="5383" max="5383" width="14.28515625" customWidth="1"/>
    <col min="5384" max="5384" width="14.5703125" customWidth="1"/>
    <col min="5385" max="5385" width="16" customWidth="1"/>
    <col min="5639" max="5639" width="14.28515625" customWidth="1"/>
    <col min="5640" max="5640" width="14.5703125" customWidth="1"/>
    <col min="5641" max="5641" width="16" customWidth="1"/>
    <col min="5895" max="5895" width="14.28515625" customWidth="1"/>
    <col min="5896" max="5896" width="14.5703125" customWidth="1"/>
    <col min="5897" max="5897" width="16" customWidth="1"/>
    <col min="6151" max="6151" width="14.28515625" customWidth="1"/>
    <col min="6152" max="6152" width="14.5703125" customWidth="1"/>
    <col min="6153" max="6153" width="16" customWidth="1"/>
    <col min="6407" max="6407" width="14.28515625" customWidth="1"/>
    <col min="6408" max="6408" width="14.5703125" customWidth="1"/>
    <col min="6409" max="6409" width="16" customWidth="1"/>
    <col min="6663" max="6663" width="14.28515625" customWidth="1"/>
    <col min="6664" max="6664" width="14.5703125" customWidth="1"/>
    <col min="6665" max="6665" width="16" customWidth="1"/>
    <col min="6919" max="6919" width="14.28515625" customWidth="1"/>
    <col min="6920" max="6920" width="14.5703125" customWidth="1"/>
    <col min="6921" max="6921" width="16" customWidth="1"/>
    <col min="7175" max="7175" width="14.28515625" customWidth="1"/>
    <col min="7176" max="7176" width="14.5703125" customWidth="1"/>
    <col min="7177" max="7177" width="16" customWidth="1"/>
    <col min="7431" max="7431" width="14.28515625" customWidth="1"/>
    <col min="7432" max="7432" width="14.5703125" customWidth="1"/>
    <col min="7433" max="7433" width="16" customWidth="1"/>
    <col min="7687" max="7687" width="14.28515625" customWidth="1"/>
    <col min="7688" max="7688" width="14.5703125" customWidth="1"/>
    <col min="7689" max="7689" width="16" customWidth="1"/>
    <col min="7943" max="7943" width="14.28515625" customWidth="1"/>
    <col min="7944" max="7944" width="14.5703125" customWidth="1"/>
    <col min="7945" max="7945" width="16" customWidth="1"/>
    <col min="8199" max="8199" width="14.28515625" customWidth="1"/>
    <col min="8200" max="8200" width="14.5703125" customWidth="1"/>
    <col min="8201" max="8201" width="16" customWidth="1"/>
    <col min="8455" max="8455" width="14.28515625" customWidth="1"/>
    <col min="8456" max="8456" width="14.5703125" customWidth="1"/>
    <col min="8457" max="8457" width="16" customWidth="1"/>
    <col min="8711" max="8711" width="14.28515625" customWidth="1"/>
    <col min="8712" max="8712" width="14.5703125" customWidth="1"/>
    <col min="8713" max="8713" width="16" customWidth="1"/>
    <col min="8967" max="8967" width="14.28515625" customWidth="1"/>
    <col min="8968" max="8968" width="14.5703125" customWidth="1"/>
    <col min="8969" max="8969" width="16" customWidth="1"/>
    <col min="9223" max="9223" width="14.28515625" customWidth="1"/>
    <col min="9224" max="9224" width="14.5703125" customWidth="1"/>
    <col min="9225" max="9225" width="16" customWidth="1"/>
    <col min="9479" max="9479" width="14.28515625" customWidth="1"/>
    <col min="9480" max="9480" width="14.5703125" customWidth="1"/>
    <col min="9481" max="9481" width="16" customWidth="1"/>
    <col min="9735" max="9735" width="14.28515625" customWidth="1"/>
    <col min="9736" max="9736" width="14.5703125" customWidth="1"/>
    <col min="9737" max="9737" width="16" customWidth="1"/>
    <col min="9991" max="9991" width="14.28515625" customWidth="1"/>
    <col min="9992" max="9992" width="14.5703125" customWidth="1"/>
    <col min="9993" max="9993" width="16" customWidth="1"/>
    <col min="10247" max="10247" width="14.28515625" customWidth="1"/>
    <col min="10248" max="10248" width="14.5703125" customWidth="1"/>
    <col min="10249" max="10249" width="16" customWidth="1"/>
    <col min="10503" max="10503" width="14.28515625" customWidth="1"/>
    <col min="10504" max="10504" width="14.5703125" customWidth="1"/>
    <col min="10505" max="10505" width="16" customWidth="1"/>
    <col min="10759" max="10759" width="14.28515625" customWidth="1"/>
    <col min="10760" max="10760" width="14.5703125" customWidth="1"/>
    <col min="10761" max="10761" width="16" customWidth="1"/>
    <col min="11015" max="11015" width="14.28515625" customWidth="1"/>
    <col min="11016" max="11016" width="14.5703125" customWidth="1"/>
    <col min="11017" max="11017" width="16" customWidth="1"/>
    <col min="11271" max="11271" width="14.28515625" customWidth="1"/>
    <col min="11272" max="11272" width="14.5703125" customWidth="1"/>
    <col min="11273" max="11273" width="16" customWidth="1"/>
    <col min="11527" max="11527" width="14.28515625" customWidth="1"/>
    <col min="11528" max="11528" width="14.5703125" customWidth="1"/>
    <col min="11529" max="11529" width="16" customWidth="1"/>
    <col min="11783" max="11783" width="14.28515625" customWidth="1"/>
    <col min="11784" max="11784" width="14.5703125" customWidth="1"/>
    <col min="11785" max="11785" width="16" customWidth="1"/>
    <col min="12039" max="12039" width="14.28515625" customWidth="1"/>
    <col min="12040" max="12040" width="14.5703125" customWidth="1"/>
    <col min="12041" max="12041" width="16" customWidth="1"/>
    <col min="12295" max="12295" width="14.28515625" customWidth="1"/>
    <col min="12296" max="12296" width="14.5703125" customWidth="1"/>
    <col min="12297" max="12297" width="16" customWidth="1"/>
    <col min="12551" max="12551" width="14.28515625" customWidth="1"/>
    <col min="12552" max="12552" width="14.5703125" customWidth="1"/>
    <col min="12553" max="12553" width="16" customWidth="1"/>
    <col min="12807" max="12807" width="14.28515625" customWidth="1"/>
    <col min="12808" max="12808" width="14.5703125" customWidth="1"/>
    <col min="12809" max="12809" width="16" customWidth="1"/>
    <col min="13063" max="13063" width="14.28515625" customWidth="1"/>
    <col min="13064" max="13064" width="14.5703125" customWidth="1"/>
    <col min="13065" max="13065" width="16" customWidth="1"/>
    <col min="13319" max="13319" width="14.28515625" customWidth="1"/>
    <col min="13320" max="13320" width="14.5703125" customWidth="1"/>
    <col min="13321" max="13321" width="16" customWidth="1"/>
    <col min="13575" max="13575" width="14.28515625" customWidth="1"/>
    <col min="13576" max="13576" width="14.5703125" customWidth="1"/>
    <col min="13577" max="13577" width="16" customWidth="1"/>
    <col min="13831" max="13831" width="14.28515625" customWidth="1"/>
    <col min="13832" max="13832" width="14.5703125" customWidth="1"/>
    <col min="13833" max="13833" width="16" customWidth="1"/>
    <col min="14087" max="14087" width="14.28515625" customWidth="1"/>
    <col min="14088" max="14088" width="14.5703125" customWidth="1"/>
    <col min="14089" max="14089" width="16" customWidth="1"/>
    <col min="14343" max="14343" width="14.28515625" customWidth="1"/>
    <col min="14344" max="14344" width="14.5703125" customWidth="1"/>
    <col min="14345" max="14345" width="16" customWidth="1"/>
    <col min="14599" max="14599" width="14.28515625" customWidth="1"/>
    <col min="14600" max="14600" width="14.5703125" customWidth="1"/>
    <col min="14601" max="14601" width="16" customWidth="1"/>
    <col min="14855" max="14855" width="14.28515625" customWidth="1"/>
    <col min="14856" max="14856" width="14.5703125" customWidth="1"/>
    <col min="14857" max="14857" width="16" customWidth="1"/>
    <col min="15111" max="15111" width="14.28515625" customWidth="1"/>
    <col min="15112" max="15112" width="14.5703125" customWidth="1"/>
    <col min="15113" max="15113" width="16" customWidth="1"/>
    <col min="15367" max="15367" width="14.28515625" customWidth="1"/>
    <col min="15368" max="15368" width="14.5703125" customWidth="1"/>
    <col min="15369" max="15369" width="16" customWidth="1"/>
    <col min="15623" max="15623" width="14.28515625" customWidth="1"/>
    <col min="15624" max="15624" width="14.5703125" customWidth="1"/>
    <col min="15625" max="15625" width="16" customWidth="1"/>
    <col min="15879" max="15879" width="14.28515625" customWidth="1"/>
    <col min="15880" max="15880" width="14.5703125" customWidth="1"/>
    <col min="15881" max="15881" width="16" customWidth="1"/>
    <col min="16135" max="16135" width="14.28515625" customWidth="1"/>
    <col min="16136" max="16136" width="14.5703125" customWidth="1"/>
    <col min="16137" max="16137" width="16" customWidth="1"/>
  </cols>
  <sheetData>
    <row r="1" spans="1:14">
      <c r="A1" s="75" t="s">
        <v>184</v>
      </c>
      <c r="B1" s="75" t="s">
        <v>165</v>
      </c>
      <c r="C1" s="75" t="s">
        <v>336</v>
      </c>
      <c r="D1" s="75" t="s">
        <v>337</v>
      </c>
      <c r="G1" s="75" t="s">
        <v>339</v>
      </c>
      <c r="H1" s="75" t="s">
        <v>340</v>
      </c>
      <c r="I1" s="75" t="s">
        <v>341</v>
      </c>
    </row>
    <row r="2" spans="1:14">
      <c r="A2" s="76">
        <v>1</v>
      </c>
      <c r="B2" s="76" t="s">
        <v>352</v>
      </c>
      <c r="C2" s="77">
        <v>852.9</v>
      </c>
      <c r="D2" s="77">
        <v>851.7</v>
      </c>
      <c r="G2" s="78">
        <v>1</v>
      </c>
      <c r="H2" s="79" t="s">
        <v>349</v>
      </c>
      <c r="I2" s="78">
        <v>19.600000000000001</v>
      </c>
      <c r="L2" s="80">
        <v>19.573</v>
      </c>
      <c r="N2">
        <v>19.600000000000001</v>
      </c>
    </row>
    <row r="3" spans="1:14">
      <c r="A3" s="81">
        <v>1</v>
      </c>
      <c r="B3" s="81" t="s">
        <v>353</v>
      </c>
      <c r="C3" s="77">
        <v>852.8</v>
      </c>
      <c r="D3" s="77">
        <v>851.2</v>
      </c>
      <c r="G3" s="78">
        <v>1</v>
      </c>
      <c r="H3" s="79" t="s">
        <v>349</v>
      </c>
      <c r="I3" s="78">
        <v>19.600000000000001</v>
      </c>
      <c r="L3" s="80">
        <v>19.601500000000001</v>
      </c>
      <c r="N3">
        <v>19.600000000000001</v>
      </c>
    </row>
    <row r="4" spans="1:14">
      <c r="A4" s="81">
        <v>1</v>
      </c>
      <c r="B4" s="81" t="s">
        <v>355</v>
      </c>
      <c r="C4" s="77">
        <v>852.5</v>
      </c>
      <c r="D4" s="77">
        <v>850.7</v>
      </c>
      <c r="G4" s="78">
        <v>2</v>
      </c>
      <c r="H4" s="79" t="s">
        <v>349</v>
      </c>
      <c r="I4" s="78">
        <v>19.5</v>
      </c>
      <c r="L4" s="80">
        <v>19.545100000000001</v>
      </c>
      <c r="N4">
        <v>19.5</v>
      </c>
    </row>
    <row r="5" spans="1:14">
      <c r="A5" s="81">
        <v>2</v>
      </c>
      <c r="B5" s="81" t="s">
        <v>352</v>
      </c>
      <c r="C5" s="77">
        <v>851.8</v>
      </c>
      <c r="D5" s="77">
        <v>851.1</v>
      </c>
      <c r="G5" s="78">
        <v>2</v>
      </c>
      <c r="H5" s="79" t="s">
        <v>349</v>
      </c>
      <c r="I5" s="78">
        <v>19.2</v>
      </c>
      <c r="L5" s="80">
        <v>19.196000000000002</v>
      </c>
      <c r="N5">
        <v>19.2</v>
      </c>
    </row>
    <row r="6" spans="1:14">
      <c r="A6" s="81">
        <v>2</v>
      </c>
      <c r="B6" s="81" t="s">
        <v>353</v>
      </c>
      <c r="C6" s="77">
        <v>849.3</v>
      </c>
      <c r="D6" s="77">
        <v>853.2</v>
      </c>
      <c r="G6" s="78">
        <v>3</v>
      </c>
      <c r="H6" s="79" t="s">
        <v>349</v>
      </c>
      <c r="I6" s="78">
        <v>19.600000000000001</v>
      </c>
      <c r="L6" s="80">
        <v>19.625599999999999</v>
      </c>
      <c r="N6">
        <v>19.600000000000001</v>
      </c>
    </row>
    <row r="7" spans="1:14">
      <c r="A7" s="81">
        <v>2</v>
      </c>
      <c r="B7" s="81" t="s">
        <v>355</v>
      </c>
      <c r="C7" s="77">
        <v>848.3</v>
      </c>
      <c r="D7" s="77">
        <v>851.4</v>
      </c>
      <c r="G7" s="78">
        <v>3</v>
      </c>
      <c r="H7" s="79" t="s">
        <v>349</v>
      </c>
      <c r="I7" s="78">
        <v>19.399999999999999</v>
      </c>
      <c r="L7" s="80">
        <v>19.382999999999999</v>
      </c>
      <c r="N7">
        <v>19.399999999999999</v>
      </c>
    </row>
    <row r="8" spans="1:14">
      <c r="A8" s="81">
        <v>3</v>
      </c>
      <c r="B8" s="81" t="s">
        <v>352</v>
      </c>
      <c r="C8" s="77">
        <v>851.5</v>
      </c>
      <c r="D8" s="77">
        <v>849.4</v>
      </c>
      <c r="G8" s="78">
        <v>4</v>
      </c>
      <c r="H8" s="79" t="s">
        <v>349</v>
      </c>
      <c r="I8" s="78">
        <v>19.399999999999999</v>
      </c>
      <c r="L8" s="80">
        <v>19.3522</v>
      </c>
      <c r="N8">
        <v>19.399999999999999</v>
      </c>
    </row>
    <row r="9" spans="1:14">
      <c r="A9" s="81">
        <v>3</v>
      </c>
      <c r="B9" s="81" t="s">
        <v>353</v>
      </c>
      <c r="C9" s="77">
        <v>851.2</v>
      </c>
      <c r="D9" s="77">
        <v>850.3</v>
      </c>
      <c r="G9" s="78">
        <v>4</v>
      </c>
      <c r="H9" s="79" t="s">
        <v>349</v>
      </c>
      <c r="I9" s="78">
        <v>19.3</v>
      </c>
      <c r="L9" s="80">
        <v>19.3035</v>
      </c>
      <c r="N9">
        <v>19.3</v>
      </c>
    </row>
    <row r="10" spans="1:14">
      <c r="A10" s="81">
        <v>3</v>
      </c>
      <c r="B10" s="81" t="s">
        <v>355</v>
      </c>
      <c r="C10" s="77">
        <v>850.8</v>
      </c>
      <c r="D10" s="77">
        <v>852.8</v>
      </c>
      <c r="G10" s="78">
        <v>5</v>
      </c>
      <c r="H10" s="79" t="s">
        <v>349</v>
      </c>
      <c r="I10" s="78">
        <v>19.8</v>
      </c>
      <c r="L10" s="80">
        <v>19.812799999999999</v>
      </c>
      <c r="N10">
        <v>19.8</v>
      </c>
    </row>
    <row r="11" spans="1:14">
      <c r="A11" s="81">
        <v>4</v>
      </c>
      <c r="B11" s="81" t="s">
        <v>352</v>
      </c>
      <c r="C11" s="77">
        <v>849.7</v>
      </c>
      <c r="D11" s="77">
        <v>849.1</v>
      </c>
      <c r="G11" s="78">
        <v>5</v>
      </c>
      <c r="H11" s="79" t="s">
        <v>349</v>
      </c>
      <c r="I11" s="78">
        <v>19.899999999999999</v>
      </c>
      <c r="L11" s="80">
        <v>19.923999999999999</v>
      </c>
      <c r="N11">
        <v>19.899999999999999</v>
      </c>
    </row>
    <row r="12" spans="1:14">
      <c r="A12" s="81">
        <v>4</v>
      </c>
      <c r="B12" s="81" t="s">
        <v>353</v>
      </c>
      <c r="C12" s="77">
        <v>849.6</v>
      </c>
      <c r="D12" s="77">
        <v>847.5</v>
      </c>
      <c r="G12" s="78">
        <v>1</v>
      </c>
      <c r="H12" s="79" t="s">
        <v>354</v>
      </c>
      <c r="I12" s="78">
        <v>19.399999999999999</v>
      </c>
      <c r="L12" s="80">
        <v>19.3294</v>
      </c>
      <c r="N12">
        <v>19.3</v>
      </c>
    </row>
    <row r="13" spans="1:14">
      <c r="A13" s="81">
        <v>4</v>
      </c>
      <c r="B13" s="81" t="s">
        <v>355</v>
      </c>
      <c r="C13" s="77">
        <v>851.5</v>
      </c>
      <c r="D13" s="77">
        <v>850.2</v>
      </c>
      <c r="G13" s="78">
        <v>1</v>
      </c>
      <c r="H13" s="79" t="s">
        <v>354</v>
      </c>
      <c r="I13" s="78">
        <v>19.7</v>
      </c>
      <c r="L13" s="80">
        <v>19.9636</v>
      </c>
      <c r="N13">
        <v>19.8</v>
      </c>
    </row>
    <row r="14" spans="1:14">
      <c r="A14" s="81">
        <v>5</v>
      </c>
      <c r="B14" s="81" t="s">
        <v>352</v>
      </c>
      <c r="C14" s="77">
        <v>849.9</v>
      </c>
      <c r="D14" s="77">
        <v>848</v>
      </c>
      <c r="G14" s="78">
        <v>2</v>
      </c>
      <c r="H14" s="79" t="s">
        <v>354</v>
      </c>
      <c r="I14" s="78">
        <v>19.3</v>
      </c>
      <c r="L14" s="80">
        <v>19.6938</v>
      </c>
      <c r="N14">
        <v>19.7</v>
      </c>
    </row>
    <row r="15" spans="1:14">
      <c r="A15" s="81">
        <v>5</v>
      </c>
      <c r="B15" s="81" t="s">
        <v>353</v>
      </c>
      <c r="C15" s="77">
        <v>851.2</v>
      </c>
      <c r="D15" s="77">
        <v>852.1</v>
      </c>
      <c r="G15" s="78">
        <v>2</v>
      </c>
      <c r="H15" s="79" t="s">
        <v>354</v>
      </c>
      <c r="I15" s="78">
        <v>19.399999999999999</v>
      </c>
      <c r="L15" s="80">
        <v>19.3506</v>
      </c>
      <c r="N15">
        <v>19.399999999999999</v>
      </c>
    </row>
    <row r="16" spans="1:14">
      <c r="A16" s="82">
        <v>5</v>
      </c>
      <c r="B16" s="82" t="s">
        <v>355</v>
      </c>
      <c r="C16" s="77">
        <v>850.5</v>
      </c>
      <c r="D16" s="77">
        <v>848.9</v>
      </c>
      <c r="G16" s="78">
        <v>3</v>
      </c>
      <c r="H16" s="79" t="s">
        <v>354</v>
      </c>
      <c r="I16" s="78">
        <v>19.5</v>
      </c>
      <c r="L16" s="80">
        <v>19.630299999999998</v>
      </c>
      <c r="N16">
        <v>19.600000000000001</v>
      </c>
    </row>
    <row r="17" spans="7:14">
      <c r="G17" s="78">
        <v>3</v>
      </c>
      <c r="H17" s="79" t="s">
        <v>354</v>
      </c>
      <c r="I17" s="78">
        <v>19.600000000000001</v>
      </c>
      <c r="L17" s="80">
        <v>19.585000000000001</v>
      </c>
      <c r="N17">
        <v>19.600000000000001</v>
      </c>
    </row>
    <row r="18" spans="7:14">
      <c r="G18" s="78">
        <v>4</v>
      </c>
      <c r="H18" s="79" t="s">
        <v>354</v>
      </c>
      <c r="I18" s="78">
        <v>19.5</v>
      </c>
      <c r="L18" s="80">
        <v>19.495000000000001</v>
      </c>
      <c r="N18">
        <v>19.5</v>
      </c>
    </row>
    <row r="19" spans="7:14">
      <c r="G19" s="78">
        <v>4</v>
      </c>
      <c r="H19" s="79" t="s">
        <v>354</v>
      </c>
      <c r="I19" s="78">
        <v>19.600000000000001</v>
      </c>
      <c r="L19" s="80">
        <v>19.5565</v>
      </c>
      <c r="N19">
        <v>19.600000000000001</v>
      </c>
    </row>
    <row r="20" spans="7:14">
      <c r="G20" s="78">
        <v>5</v>
      </c>
      <c r="H20" s="79" t="s">
        <v>354</v>
      </c>
      <c r="I20" s="78">
        <v>19.899999999999999</v>
      </c>
      <c r="L20" s="80">
        <v>19.5305</v>
      </c>
      <c r="N20">
        <v>19.5</v>
      </c>
    </row>
    <row r="21" spans="7:14">
      <c r="G21" s="78">
        <v>5</v>
      </c>
      <c r="H21" s="79" t="s">
        <v>354</v>
      </c>
      <c r="I21" s="78">
        <v>19.8</v>
      </c>
      <c r="L21" s="80">
        <v>19.5184</v>
      </c>
      <c r="N21">
        <v>19.5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"/>
  <sheetViews>
    <sheetView workbookViewId="0">
      <selection activeCell="F5" sqref="A1:H11"/>
    </sheetView>
  </sheetViews>
  <sheetFormatPr defaultRowHeight="14.45"/>
  <cols>
    <col min="6" max="6" width="16.28515625" bestFit="1" customWidth="1"/>
    <col min="7" max="7" width="9.7109375" bestFit="1" customWidth="1"/>
  </cols>
  <sheetData>
    <row r="1" spans="1:8">
      <c r="A1" t="s">
        <v>103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</row>
    <row r="2" spans="1:8">
      <c r="A2">
        <v>1</v>
      </c>
      <c r="B2">
        <v>685.71400000000006</v>
      </c>
      <c r="C2">
        <v>1555.56</v>
      </c>
      <c r="D2" t="s">
        <v>363</v>
      </c>
      <c r="E2">
        <v>11.9185</v>
      </c>
      <c r="F2" t="s">
        <v>364</v>
      </c>
      <c r="G2" t="s">
        <v>365</v>
      </c>
      <c r="H2">
        <v>33</v>
      </c>
    </row>
    <row r="3" spans="1:8">
      <c r="A3">
        <v>2</v>
      </c>
      <c r="B3">
        <v>542.85699999999997</v>
      </c>
      <c r="C3">
        <v>844.44</v>
      </c>
      <c r="D3" t="s">
        <v>363</v>
      </c>
      <c r="E3">
        <v>12.0685</v>
      </c>
      <c r="F3" t="s">
        <v>364</v>
      </c>
      <c r="G3" t="s">
        <v>366</v>
      </c>
      <c r="H3">
        <v>18.600000000000001</v>
      </c>
    </row>
    <row r="4" spans="1:8">
      <c r="A4">
        <v>3</v>
      </c>
      <c r="B4">
        <v>671.42899999999997</v>
      </c>
      <c r="C4">
        <v>1022.22</v>
      </c>
      <c r="D4" t="s">
        <v>364</v>
      </c>
      <c r="E4">
        <v>12.113799999999999</v>
      </c>
      <c r="F4" t="s">
        <v>364</v>
      </c>
      <c r="G4" t="s">
        <v>365</v>
      </c>
      <c r="H4">
        <v>28.95</v>
      </c>
    </row>
    <row r="5" spans="1:8">
      <c r="A5">
        <v>4</v>
      </c>
      <c r="B5">
        <v>428.57100000000003</v>
      </c>
      <c r="C5">
        <v>733.33</v>
      </c>
      <c r="D5" t="s">
        <v>363</v>
      </c>
      <c r="E5">
        <v>12.113799999999999</v>
      </c>
      <c r="F5" t="s">
        <v>364</v>
      </c>
      <c r="G5" t="s">
        <v>366</v>
      </c>
      <c r="H5">
        <v>24</v>
      </c>
    </row>
    <row r="6" spans="1:8">
      <c r="A6">
        <v>5</v>
      </c>
      <c r="B6">
        <v>542.85699999999997</v>
      </c>
      <c r="C6">
        <v>844.44</v>
      </c>
      <c r="D6" t="s">
        <v>364</v>
      </c>
      <c r="E6">
        <v>12.113799999999999</v>
      </c>
      <c r="F6" t="s">
        <v>363</v>
      </c>
      <c r="G6" t="s">
        <v>365</v>
      </c>
      <c r="H6">
        <v>18.600000000000001</v>
      </c>
    </row>
    <row r="7" spans="1:8">
      <c r="A7">
        <v>6</v>
      </c>
      <c r="B7">
        <v>485.714</v>
      </c>
      <c r="C7">
        <v>755.56</v>
      </c>
      <c r="D7" t="s">
        <v>363</v>
      </c>
      <c r="E7">
        <v>12.113799999999999</v>
      </c>
      <c r="F7" t="s">
        <v>364</v>
      </c>
      <c r="G7" t="s">
        <v>366</v>
      </c>
      <c r="H7">
        <v>19.5</v>
      </c>
    </row>
    <row r="8" spans="1:8">
      <c r="A8">
        <v>7</v>
      </c>
      <c r="B8">
        <v>442.85700000000003</v>
      </c>
      <c r="C8">
        <v>1088.8900000000001</v>
      </c>
      <c r="D8" t="s">
        <v>364</v>
      </c>
      <c r="E8">
        <v>12.260400000000001</v>
      </c>
      <c r="F8" t="s">
        <v>363</v>
      </c>
      <c r="G8" t="s">
        <v>365</v>
      </c>
      <c r="H8">
        <v>20.399999999999999</v>
      </c>
    </row>
    <row r="9" spans="1:8">
      <c r="A9">
        <v>8</v>
      </c>
      <c r="B9">
        <v>714.28599999999994</v>
      </c>
      <c r="C9">
        <v>1277.78</v>
      </c>
      <c r="D9" t="s">
        <v>364</v>
      </c>
      <c r="E9">
        <v>12.309200000000001</v>
      </c>
      <c r="F9" t="s">
        <v>364</v>
      </c>
      <c r="G9" t="s">
        <v>365</v>
      </c>
      <c r="H9">
        <v>24.45</v>
      </c>
    </row>
    <row r="10" spans="1:8">
      <c r="A10">
        <v>9</v>
      </c>
      <c r="B10">
        <v>514.28599999999994</v>
      </c>
      <c r="C10">
        <v>777.78</v>
      </c>
      <c r="D10" t="s">
        <v>363</v>
      </c>
      <c r="E10">
        <v>12.309200000000001</v>
      </c>
      <c r="F10" t="s">
        <v>364</v>
      </c>
      <c r="G10" t="s">
        <v>366</v>
      </c>
      <c r="H10">
        <v>23.1</v>
      </c>
    </row>
    <row r="11" spans="1:8">
      <c r="A11">
        <v>10</v>
      </c>
      <c r="B11">
        <v>585.71400000000006</v>
      </c>
      <c r="C11">
        <v>888.89</v>
      </c>
      <c r="D11" t="s">
        <v>363</v>
      </c>
      <c r="E11">
        <v>12.309200000000001</v>
      </c>
      <c r="F11" t="s">
        <v>364</v>
      </c>
      <c r="G11" t="s">
        <v>366</v>
      </c>
      <c r="H11">
        <v>22.2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126"/>
  <sheetViews>
    <sheetView workbookViewId="0">
      <selection activeCell="G14" sqref="G14"/>
    </sheetView>
  </sheetViews>
  <sheetFormatPr defaultRowHeight="14.45"/>
  <sheetData>
    <row r="1" spans="1:23">
      <c r="A1" s="95" t="s">
        <v>367</v>
      </c>
      <c r="B1" s="95" t="s">
        <v>368</v>
      </c>
      <c r="C1" s="95" t="s">
        <v>369</v>
      </c>
      <c r="D1" s="95" t="s">
        <v>370</v>
      </c>
      <c r="E1" s="96" t="s">
        <v>371</v>
      </c>
      <c r="F1" s="96" t="s">
        <v>276</v>
      </c>
      <c r="G1" s="96" t="s">
        <v>372</v>
      </c>
      <c r="H1" s="96" t="s">
        <v>277</v>
      </c>
      <c r="I1" s="96" t="s">
        <v>3</v>
      </c>
      <c r="J1" s="96" t="s">
        <v>8</v>
      </c>
      <c r="K1" s="96" t="s">
        <v>116</v>
      </c>
      <c r="L1" s="96" t="s">
        <v>373</v>
      </c>
      <c r="M1" s="96" t="s">
        <v>374</v>
      </c>
      <c r="N1" s="96" t="s">
        <v>375</v>
      </c>
      <c r="O1" s="96" t="s">
        <v>376</v>
      </c>
      <c r="P1" s="96" t="s">
        <v>377</v>
      </c>
      <c r="Q1" s="96" t="s">
        <v>378</v>
      </c>
      <c r="R1" s="96" t="s">
        <v>379</v>
      </c>
      <c r="S1" s="96" t="s">
        <v>380</v>
      </c>
      <c r="T1" s="96" t="s">
        <v>381</v>
      </c>
      <c r="U1" s="96" t="s">
        <v>382</v>
      </c>
      <c r="V1" s="96" t="s">
        <v>383</v>
      </c>
      <c r="W1" s="96" t="s">
        <v>384</v>
      </c>
    </row>
    <row r="2" spans="1:23">
      <c r="A2" s="95" t="s">
        <v>385</v>
      </c>
      <c r="B2" s="95">
        <v>231.2254689074546</v>
      </c>
      <c r="C2" s="95" t="s">
        <v>385</v>
      </c>
      <c r="D2" s="95">
        <v>47.5322634167388</v>
      </c>
      <c r="E2" s="96" t="s">
        <v>386</v>
      </c>
      <c r="F2" s="96">
        <v>225.06666240565534</v>
      </c>
      <c r="G2" s="96" t="s">
        <v>385</v>
      </c>
      <c r="H2" s="96">
        <v>61.756556738309044</v>
      </c>
      <c r="I2" s="96">
        <v>299.63631568031627</v>
      </c>
      <c r="J2" s="96">
        <v>94.522465285274066</v>
      </c>
      <c r="K2" s="96">
        <v>0.58417800506002515</v>
      </c>
      <c r="L2" s="96">
        <v>22.856708785041064</v>
      </c>
      <c r="M2" s="96">
        <v>26.913727605175307</v>
      </c>
      <c r="N2" s="96">
        <v>278.29404688634077</v>
      </c>
      <c r="O2" s="96">
        <v>33.671737322326571</v>
      </c>
      <c r="P2" s="96">
        <v>51.660195775153795</v>
      </c>
      <c r="Q2" s="96">
        <v>29.46146424690405</v>
      </c>
      <c r="R2" s="96">
        <v>102.76920281956625</v>
      </c>
      <c r="S2" s="96">
        <v>124.40631550627664</v>
      </c>
      <c r="T2" s="96">
        <v>129.50640981187746</v>
      </c>
      <c r="U2" s="96">
        <v>106.96151219320328</v>
      </c>
      <c r="V2" s="96">
        <v>81.52458864928785</v>
      </c>
      <c r="W2" s="96">
        <v>48.400488187600565</v>
      </c>
    </row>
    <row r="3" spans="1:23">
      <c r="A3" s="95" t="s">
        <v>385</v>
      </c>
      <c r="B3" s="95">
        <v>276.31860524832604</v>
      </c>
      <c r="C3" s="95" t="s">
        <v>385</v>
      </c>
      <c r="D3" s="95">
        <v>59.42736614195428</v>
      </c>
      <c r="E3" s="96" t="s">
        <v>385</v>
      </c>
      <c r="F3" s="96">
        <v>219.83116035904717</v>
      </c>
      <c r="G3" s="96" t="s">
        <v>385</v>
      </c>
      <c r="H3" s="96">
        <v>71.270938677874767</v>
      </c>
      <c r="I3" s="96">
        <v>300.19425726203883</v>
      </c>
      <c r="J3" s="96">
        <v>88.897573709072418</v>
      </c>
      <c r="K3" s="96">
        <v>0.62050505228203556</v>
      </c>
      <c r="L3" s="96">
        <v>18.482241569248856</v>
      </c>
      <c r="M3" s="96">
        <v>26.427645002193739</v>
      </c>
      <c r="N3" s="96">
        <v>283.13003669264953</v>
      </c>
      <c r="O3" s="96">
        <v>41.519609680064242</v>
      </c>
      <c r="P3" s="96">
        <v>50.009874641556486</v>
      </c>
      <c r="Q3" s="96">
        <v>31.066925042682414</v>
      </c>
      <c r="R3" s="96">
        <v>99.99680850191983</v>
      </c>
      <c r="S3" s="96">
        <v>119.41468996055934</v>
      </c>
      <c r="T3" s="96">
        <v>126.34397855894804</v>
      </c>
      <c r="U3" s="96">
        <v>103.06113436896675</v>
      </c>
      <c r="V3" s="96">
        <v>82.747824980478001</v>
      </c>
      <c r="W3" s="96">
        <v>50.09018608951942</v>
      </c>
    </row>
    <row r="4" spans="1:23">
      <c r="A4" s="95" t="s">
        <v>385</v>
      </c>
      <c r="B4" s="95">
        <v>280.75945619909226</v>
      </c>
      <c r="C4" s="95" t="s">
        <v>385</v>
      </c>
      <c r="D4" s="95">
        <v>63.39609437910741</v>
      </c>
      <c r="E4" s="96" t="s">
        <v>385</v>
      </c>
      <c r="F4" s="96">
        <v>216.52510981026001</v>
      </c>
      <c r="G4" s="96" t="s">
        <v>385</v>
      </c>
      <c r="H4" s="96">
        <v>106.69254185183796</v>
      </c>
      <c r="I4" s="96">
        <v>299.02826104595488</v>
      </c>
      <c r="J4" s="96">
        <v>104.75242859752598</v>
      </c>
      <c r="K4" s="96">
        <v>0.41811354340440765</v>
      </c>
      <c r="L4" s="96">
        <v>21.751303571661023</v>
      </c>
      <c r="M4" s="96">
        <v>25.611953195051392</v>
      </c>
      <c r="N4" s="96">
        <v>284.96417913365752</v>
      </c>
      <c r="O4" s="96">
        <v>41.071266765499331</v>
      </c>
      <c r="P4" s="96">
        <v>54.989623965507697</v>
      </c>
      <c r="Q4" s="96">
        <v>29.938220042984998</v>
      </c>
      <c r="R4" s="96">
        <v>103.44506158255896</v>
      </c>
      <c r="S4" s="96">
        <v>124.75418155791803</v>
      </c>
      <c r="T4" s="96">
        <v>134.39896858144519</v>
      </c>
      <c r="U4" s="96">
        <v>100.6674684053548</v>
      </c>
      <c r="V4" s="96">
        <v>80.935597080058756</v>
      </c>
      <c r="W4" s="96">
        <v>50.056668770144569</v>
      </c>
    </row>
    <row r="5" spans="1:23">
      <c r="A5" s="95" t="s">
        <v>385</v>
      </c>
      <c r="B5" s="95">
        <v>311.31387837343135</v>
      </c>
      <c r="C5" s="95" t="s">
        <v>385</v>
      </c>
      <c r="D5" s="95">
        <v>56.088912644808133</v>
      </c>
      <c r="E5" s="96" t="s">
        <v>386</v>
      </c>
      <c r="F5" s="96">
        <v>237.35297594150646</v>
      </c>
      <c r="G5" s="96" t="s">
        <v>385</v>
      </c>
      <c r="H5" s="96">
        <v>74.540584999604476</v>
      </c>
      <c r="I5" s="96">
        <v>299.83284441427759</v>
      </c>
      <c r="J5" s="96">
        <v>100.16694360910111</v>
      </c>
      <c r="K5" s="96">
        <v>0.44218307112952238</v>
      </c>
      <c r="L5" s="96">
        <v>18.866282745131258</v>
      </c>
      <c r="M5" s="96">
        <v>27.85439973980769</v>
      </c>
      <c r="N5" s="96">
        <v>273.7260108435035</v>
      </c>
      <c r="O5" s="96">
        <v>39.188843052047254</v>
      </c>
      <c r="P5" s="96">
        <v>53.868981260735247</v>
      </c>
      <c r="Q5" s="96">
        <v>30.327775247467343</v>
      </c>
      <c r="R5" s="96">
        <v>100.2902952575253</v>
      </c>
      <c r="S5" s="96">
        <v>121.74043934743153</v>
      </c>
      <c r="T5" s="96">
        <v>123.69031470821074</v>
      </c>
      <c r="U5" s="96">
        <v>97.973335988384648</v>
      </c>
      <c r="V5" s="96">
        <v>78.920709872075065</v>
      </c>
      <c r="W5" s="96">
        <v>49.750148964823971</v>
      </c>
    </row>
    <row r="6" spans="1:23">
      <c r="A6" s="95" t="s">
        <v>385</v>
      </c>
      <c r="B6" s="95">
        <v>264.95028393544891</v>
      </c>
      <c r="C6" s="95" t="s">
        <v>385</v>
      </c>
      <c r="D6" s="95">
        <v>45.970374871216038</v>
      </c>
      <c r="E6" s="96" t="s">
        <v>385</v>
      </c>
      <c r="F6" s="96">
        <v>215.76199347552574</v>
      </c>
      <c r="G6" s="96" t="s">
        <v>385</v>
      </c>
      <c r="H6" s="96">
        <v>80.820192089828481</v>
      </c>
      <c r="I6" s="96">
        <v>301.44627772870581</v>
      </c>
      <c r="J6" s="96">
        <v>95.073170719696051</v>
      </c>
      <c r="K6" s="96">
        <v>0.4402854617785838</v>
      </c>
      <c r="L6" s="96">
        <v>27.044480154643299</v>
      </c>
      <c r="M6" s="96">
        <v>25.599419370974616</v>
      </c>
      <c r="N6" s="96">
        <v>283.60830320640105</v>
      </c>
      <c r="O6" s="96">
        <v>38.710807346290956</v>
      </c>
      <c r="P6" s="96">
        <v>53.207955947201498</v>
      </c>
      <c r="Q6" s="96">
        <v>28.679587115691955</v>
      </c>
      <c r="R6" s="96">
        <v>101.82702826193518</v>
      </c>
      <c r="S6" s="96">
        <v>122.24805757636865</v>
      </c>
      <c r="T6" s="96">
        <v>136.01826104913579</v>
      </c>
      <c r="U6" s="96">
        <v>105.71641104167163</v>
      </c>
      <c r="V6" s="96">
        <v>79.98479996995566</v>
      </c>
      <c r="W6" s="96">
        <v>47.324683558940286</v>
      </c>
    </row>
    <row r="7" spans="1:23">
      <c r="A7" s="95" t="s">
        <v>385</v>
      </c>
      <c r="B7" s="95">
        <v>288.3646576261749</v>
      </c>
      <c r="C7" s="95" t="s">
        <v>385</v>
      </c>
      <c r="D7" s="95">
        <v>57.240594064177309</v>
      </c>
      <c r="E7" s="96" t="s">
        <v>385</v>
      </c>
      <c r="F7" s="96">
        <v>213.01798080372586</v>
      </c>
      <c r="G7" s="96" t="s">
        <v>385</v>
      </c>
      <c r="H7" s="96">
        <v>75.797959725854611</v>
      </c>
      <c r="I7" s="96">
        <v>299.42501219899862</v>
      </c>
      <c r="J7" s="96">
        <v>90.255284380248057</v>
      </c>
      <c r="K7" s="96">
        <v>0.53732824266555779</v>
      </c>
      <c r="L7" s="96">
        <v>22.859780573780352</v>
      </c>
      <c r="M7" s="96">
        <v>26.508328209311635</v>
      </c>
      <c r="N7" s="96">
        <v>287.28974201184462</v>
      </c>
      <c r="O7" s="96">
        <v>42.470044135830406</v>
      </c>
      <c r="P7" s="96">
        <v>46.720455483511806</v>
      </c>
      <c r="Q7" s="96">
        <v>31.51335344905884</v>
      </c>
      <c r="R7" s="96">
        <v>100.94146337414531</v>
      </c>
      <c r="S7" s="96">
        <v>120.28502311226171</v>
      </c>
      <c r="T7" s="96">
        <v>134.34971863573531</v>
      </c>
      <c r="U7" s="96">
        <v>112.20379892222064</v>
      </c>
      <c r="V7" s="96">
        <v>79.252012298165525</v>
      </c>
      <c r="W7" s="96">
        <v>50.285013625986636</v>
      </c>
    </row>
    <row r="8" spans="1:23">
      <c r="A8" s="95" t="s">
        <v>385</v>
      </c>
      <c r="B8" s="95">
        <v>255.18241106958152</v>
      </c>
      <c r="C8" s="95" t="s">
        <v>385</v>
      </c>
      <c r="D8" s="95">
        <v>61.68599849424983</v>
      </c>
      <c r="E8" s="96" t="s">
        <v>386</v>
      </c>
      <c r="F8" s="96">
        <v>231.60074226907906</v>
      </c>
      <c r="G8" s="96" t="s">
        <v>385</v>
      </c>
      <c r="H8" s="96">
        <v>81.094253088304711</v>
      </c>
      <c r="I8" s="96">
        <v>300.26292403690564</v>
      </c>
      <c r="J8" s="96">
        <v>96.301700370659987</v>
      </c>
      <c r="K8" s="96">
        <v>0.61342496345903419</v>
      </c>
      <c r="L8" s="96">
        <v>24.974713957750215</v>
      </c>
      <c r="M8" s="96">
        <v>27.67981640116415</v>
      </c>
      <c r="N8" s="96">
        <v>277.24645748928612</v>
      </c>
      <c r="O8" s="96">
        <v>32.3974495875879</v>
      </c>
      <c r="P8" s="96">
        <v>52.013258273655168</v>
      </c>
      <c r="Q8" s="96">
        <v>28.634471298452844</v>
      </c>
      <c r="R8" s="96">
        <v>103.18900493484449</v>
      </c>
      <c r="S8" s="96">
        <v>118.15072842850611</v>
      </c>
      <c r="T8" s="96">
        <v>129.91601210680844</v>
      </c>
      <c r="U8" s="96">
        <v>102.32948233772237</v>
      </c>
      <c r="V8" s="96">
        <v>81.337878519777291</v>
      </c>
      <c r="W8" s="96">
        <v>52.088553635511829</v>
      </c>
    </row>
    <row r="9" spans="1:23">
      <c r="A9" s="95" t="s">
        <v>385</v>
      </c>
      <c r="B9" s="95">
        <v>289.97449374146038</v>
      </c>
      <c r="C9" s="95" t="s">
        <v>385</v>
      </c>
      <c r="D9" s="95">
        <v>48.389441567423837</v>
      </c>
      <c r="E9" s="96" t="s">
        <v>385</v>
      </c>
      <c r="F9" s="96">
        <v>217.17406421265679</v>
      </c>
      <c r="G9" s="96" t="s">
        <v>385</v>
      </c>
      <c r="H9" s="96">
        <v>102.80162488936608</v>
      </c>
      <c r="I9" s="96">
        <v>300.70290520275717</v>
      </c>
      <c r="J9" s="96">
        <v>94.459724973078551</v>
      </c>
      <c r="K9" s="96">
        <v>0.39190903717447229</v>
      </c>
      <c r="L9" s="96">
        <v>21.179830133644074</v>
      </c>
      <c r="M9" s="96">
        <v>26.284108380420655</v>
      </c>
      <c r="N9" s="96">
        <v>278.3723902921127</v>
      </c>
      <c r="O9" s="96">
        <v>43.520255803077049</v>
      </c>
      <c r="P9" s="96">
        <v>47.127621121378212</v>
      </c>
      <c r="Q9" s="96">
        <v>30.88427884510865</v>
      </c>
      <c r="R9" s="96">
        <v>101.55109605227005</v>
      </c>
      <c r="S9" s="96">
        <v>119.46880468085436</v>
      </c>
      <c r="T9" s="96">
        <v>135.87445392209196</v>
      </c>
      <c r="U9" s="96">
        <v>97.732680578352259</v>
      </c>
      <c r="V9" s="96">
        <v>81.916655259167541</v>
      </c>
      <c r="W9" s="96">
        <v>49.745637489708365</v>
      </c>
    </row>
    <row r="10" spans="1:23">
      <c r="A10" s="95" t="s">
        <v>385</v>
      </c>
      <c r="B10" s="95">
        <v>253.2263782422269</v>
      </c>
      <c r="C10" s="95" t="s">
        <v>385</v>
      </c>
      <c r="D10" s="95">
        <v>50.787701558761569</v>
      </c>
      <c r="E10" s="96" t="s">
        <v>385</v>
      </c>
      <c r="F10" s="96">
        <v>219.03308569268353</v>
      </c>
      <c r="G10" s="96" t="s">
        <v>385</v>
      </c>
      <c r="H10" s="96">
        <v>62.267262395794873</v>
      </c>
      <c r="I10" s="96">
        <v>300.49385149029621</v>
      </c>
      <c r="J10" s="96">
        <v>104.05762064815175</v>
      </c>
      <c r="K10" s="96">
        <v>0.39178010654555939</v>
      </c>
      <c r="L10" s="96">
        <v>18.743911915508349</v>
      </c>
      <c r="M10" s="96">
        <v>26.960823761684324</v>
      </c>
      <c r="N10" s="96">
        <v>284.46055168938358</v>
      </c>
      <c r="O10" s="96">
        <v>37.53814350478352</v>
      </c>
      <c r="P10" s="96">
        <v>48.446253809605167</v>
      </c>
      <c r="Q10" s="96">
        <v>30.950640228167966</v>
      </c>
      <c r="R10" s="96">
        <v>97.17249960516061</v>
      </c>
      <c r="S10" s="96">
        <v>117.09381550352357</v>
      </c>
      <c r="T10" s="96">
        <v>131.84967385217976</v>
      </c>
      <c r="U10" s="96">
        <v>109.05511047419292</v>
      </c>
      <c r="V10" s="96">
        <v>83.428059720274334</v>
      </c>
      <c r="W10" s="96">
        <v>48.856723370394278</v>
      </c>
    </row>
    <row r="11" spans="1:23">
      <c r="A11" s="95" t="s">
        <v>385</v>
      </c>
      <c r="B11" s="95">
        <v>269.80026426731735</v>
      </c>
      <c r="C11" s="95" t="s">
        <v>385</v>
      </c>
      <c r="D11" s="95">
        <v>56.436194846842682</v>
      </c>
      <c r="E11" s="96" t="s">
        <v>385</v>
      </c>
      <c r="F11" s="96">
        <v>213.88701657791796</v>
      </c>
      <c r="G11" s="96" t="s">
        <v>385</v>
      </c>
      <c r="H11" s="96">
        <v>89.668800878974224</v>
      </c>
      <c r="I11" s="96">
        <v>299.02742123884974</v>
      </c>
      <c r="J11" s="96">
        <v>95.582203156935606</v>
      </c>
      <c r="K11" s="96">
        <v>0.49633350558967232</v>
      </c>
      <c r="L11" s="96">
        <v>21.547877725851496</v>
      </c>
      <c r="M11" s="96">
        <v>25.722312883003337</v>
      </c>
      <c r="N11" s="96">
        <v>286.32777070552669</v>
      </c>
      <c r="O11" s="96">
        <v>42.885991768896886</v>
      </c>
      <c r="P11" s="96">
        <v>52.203399770950405</v>
      </c>
      <c r="Q11" s="96">
        <v>30.292322940777471</v>
      </c>
      <c r="R11" s="96">
        <v>103.22877710574603</v>
      </c>
      <c r="S11" s="96">
        <v>123.22584589930261</v>
      </c>
      <c r="T11" s="96">
        <v>132.53873016601113</v>
      </c>
      <c r="U11" s="96">
        <v>100.71638497228081</v>
      </c>
      <c r="V11" s="96">
        <v>82.386635081946977</v>
      </c>
      <c r="W11" s="96">
        <v>51.285482076223126</v>
      </c>
    </row>
    <row r="12" spans="1:23">
      <c r="A12" s="95" t="s">
        <v>385</v>
      </c>
      <c r="B12" s="95">
        <v>301.01963161964613</v>
      </c>
      <c r="C12" s="95" t="s">
        <v>385</v>
      </c>
      <c r="D12" s="95">
        <v>58.052094606256851</v>
      </c>
      <c r="E12" s="96" t="s">
        <v>385</v>
      </c>
      <c r="F12" s="96">
        <v>213.28803521999575</v>
      </c>
      <c r="G12" s="96" t="s">
        <v>385</v>
      </c>
      <c r="H12" s="96">
        <v>103.62450431144727</v>
      </c>
      <c r="I12" s="96">
        <v>298.88456292945921</v>
      </c>
      <c r="J12" s="96">
        <v>110.49138519721066</v>
      </c>
      <c r="K12" s="96">
        <v>0.38390199349657289</v>
      </c>
      <c r="L12" s="96">
        <v>23.958255843519588</v>
      </c>
      <c r="M12" s="96">
        <v>25.481733157300724</v>
      </c>
      <c r="N12" s="96">
        <v>280.53809103496923</v>
      </c>
      <c r="O12" s="96">
        <v>43.766478708952022</v>
      </c>
      <c r="P12" s="96">
        <v>47.271383012486957</v>
      </c>
      <c r="Q12" s="96">
        <v>29.036123798908797</v>
      </c>
      <c r="R12" s="96">
        <v>100.46539650107893</v>
      </c>
      <c r="S12" s="96">
        <v>122.94040391794555</v>
      </c>
      <c r="T12" s="96">
        <v>131.27645375893002</v>
      </c>
      <c r="U12" s="96">
        <v>97.794820264486901</v>
      </c>
      <c r="V12" s="96">
        <v>79.866817469002157</v>
      </c>
      <c r="W12" s="96">
        <v>49.742832053103633</v>
      </c>
    </row>
    <row r="13" spans="1:23">
      <c r="A13" s="95" t="s">
        <v>385</v>
      </c>
      <c r="B13" s="95">
        <v>227.4189632317154</v>
      </c>
      <c r="C13" s="95" t="s">
        <v>385</v>
      </c>
      <c r="D13" s="95">
        <v>40.546977733843853</v>
      </c>
      <c r="E13" s="96" t="s">
        <v>385</v>
      </c>
      <c r="F13" s="96">
        <v>215.37240773447363</v>
      </c>
      <c r="G13" s="96" t="s">
        <v>385</v>
      </c>
      <c r="H13" s="96">
        <v>86.867212482123691</v>
      </c>
      <c r="I13" s="96">
        <v>300.30357790045855</v>
      </c>
      <c r="J13" s="96">
        <v>108.15826863464164</v>
      </c>
      <c r="K13" s="96">
        <v>0.54710224169738297</v>
      </c>
      <c r="L13" s="96">
        <v>22.094925771154173</v>
      </c>
      <c r="M13" s="96">
        <v>26.608342792699183</v>
      </c>
      <c r="N13" s="96">
        <v>283.72116038715984</v>
      </c>
      <c r="O13" s="96">
        <v>31.536746327278383</v>
      </c>
      <c r="P13" s="96">
        <v>46.811994183875456</v>
      </c>
      <c r="Q13" s="96">
        <v>29.625165145001365</v>
      </c>
      <c r="R13" s="96">
        <v>100.76605696652791</v>
      </c>
      <c r="S13" s="96">
        <v>124.95305115826339</v>
      </c>
      <c r="T13" s="96">
        <v>135.15985656836222</v>
      </c>
      <c r="U13" s="96">
        <v>105.66271733146978</v>
      </c>
      <c r="V13" s="96">
        <v>83.376720872371891</v>
      </c>
      <c r="W13" s="96">
        <v>51.424559980984419</v>
      </c>
    </row>
    <row r="14" spans="1:23">
      <c r="A14" s="95" t="s">
        <v>385</v>
      </c>
      <c r="B14" s="95">
        <v>256.89066731048399</v>
      </c>
      <c r="C14" s="95" t="s">
        <v>385</v>
      </c>
      <c r="D14" s="95">
        <v>59.479661735080654</v>
      </c>
      <c r="E14" s="96" t="s">
        <v>385</v>
      </c>
      <c r="F14" s="96">
        <v>213.23557260826072</v>
      </c>
      <c r="G14" s="96" t="s">
        <v>385</v>
      </c>
      <c r="H14" s="96">
        <v>86.094898965568149</v>
      </c>
      <c r="I14" s="96">
        <v>298.60930796963794</v>
      </c>
      <c r="J14" s="96">
        <v>104.76923563415482</v>
      </c>
      <c r="K14" s="96">
        <v>0.52666733575172719</v>
      </c>
      <c r="L14" s="96">
        <v>20.116910793671405</v>
      </c>
      <c r="M14" s="96">
        <v>25.073653417908908</v>
      </c>
      <c r="N14" s="96">
        <v>271.41237028393004</v>
      </c>
      <c r="O14" s="96">
        <v>40.01074379679546</v>
      </c>
      <c r="P14" s="96">
        <v>46.880048431423695</v>
      </c>
      <c r="Q14" s="96">
        <v>31.730882775835418</v>
      </c>
      <c r="R14" s="96">
        <v>98.254556012350349</v>
      </c>
      <c r="S14" s="96">
        <v>120.31212884637765</v>
      </c>
      <c r="T14" s="96">
        <v>128.19005333200889</v>
      </c>
      <c r="U14" s="96">
        <v>92.993623218283588</v>
      </c>
      <c r="V14" s="96">
        <v>78.003327517846003</v>
      </c>
      <c r="W14" s="96">
        <v>48.574319259253635</v>
      </c>
    </row>
    <row r="15" spans="1:23">
      <c r="A15" s="95" t="s">
        <v>385</v>
      </c>
      <c r="B15" s="95">
        <v>235.5891034500853</v>
      </c>
      <c r="C15" s="95" t="s">
        <v>385</v>
      </c>
      <c r="D15" s="95">
        <v>59.009077487067593</v>
      </c>
      <c r="E15" s="96" t="s">
        <v>385</v>
      </c>
      <c r="F15" s="96">
        <v>218.38525260534882</v>
      </c>
      <c r="G15" s="96" t="s">
        <v>385</v>
      </c>
      <c r="H15" s="96">
        <v>99.241199882500155</v>
      </c>
      <c r="I15" s="96">
        <v>300.04547622887645</v>
      </c>
      <c r="J15" s="96">
        <v>99.325284116868957</v>
      </c>
      <c r="K15" s="96">
        <v>0.54253684571267657</v>
      </c>
      <c r="L15" s="96">
        <v>17.495068929065376</v>
      </c>
      <c r="M15" s="96">
        <v>26.129622415323716</v>
      </c>
      <c r="N15" s="96">
        <v>277.15753451674072</v>
      </c>
      <c r="O15" s="96">
        <v>35.23256480303781</v>
      </c>
      <c r="P15" s="96">
        <v>48.736009875132872</v>
      </c>
      <c r="Q15" s="96">
        <v>30.811342955433364</v>
      </c>
      <c r="R15" s="96">
        <v>94.685830530743999</v>
      </c>
      <c r="S15" s="96">
        <v>119.62909214238769</v>
      </c>
      <c r="T15" s="96">
        <v>128.67759195486136</v>
      </c>
      <c r="U15" s="96">
        <v>99.587065371999572</v>
      </c>
      <c r="V15" s="96">
        <v>78.1162674919686</v>
      </c>
      <c r="W15" s="96">
        <v>49.967290612098388</v>
      </c>
    </row>
    <row r="16" spans="1:23">
      <c r="A16" s="95" t="s">
        <v>385</v>
      </c>
      <c r="B16" s="95">
        <v>275.26755157492266</v>
      </c>
      <c r="C16" s="95" t="s">
        <v>385</v>
      </c>
      <c r="D16" s="95">
        <v>48.945357170949052</v>
      </c>
      <c r="E16" s="96" t="s">
        <v>385</v>
      </c>
      <c r="F16" s="96">
        <v>223.37137817196364</v>
      </c>
      <c r="G16" s="96" t="s">
        <v>385</v>
      </c>
      <c r="H16" s="96">
        <v>96.280795254988135</v>
      </c>
      <c r="I16" s="96">
        <v>299.40061695069647</v>
      </c>
      <c r="J16" s="96">
        <v>93.817506146665153</v>
      </c>
      <c r="K16" s="96">
        <v>0.46768590164592927</v>
      </c>
      <c r="L16" s="96">
        <v>28.83914571785661</v>
      </c>
      <c r="M16" s="96">
        <v>27.315396057788817</v>
      </c>
      <c r="N16" s="96">
        <v>279.49467663253847</v>
      </c>
      <c r="O16" s="96">
        <v>36.752317291528811</v>
      </c>
      <c r="P16" s="96">
        <v>47.386417106320629</v>
      </c>
      <c r="Q16" s="96">
        <v>29.008748567779396</v>
      </c>
      <c r="R16" s="96">
        <v>98.122922089233811</v>
      </c>
      <c r="S16" s="96">
        <v>118.52842746850763</v>
      </c>
      <c r="T16" s="96">
        <v>125.4820227822805</v>
      </c>
      <c r="U16" s="96">
        <v>105.23982967624025</v>
      </c>
      <c r="V16" s="96">
        <v>77.954543488890522</v>
      </c>
      <c r="W16" s="96">
        <v>49.327725090742419</v>
      </c>
    </row>
    <row r="17" spans="1:23">
      <c r="A17" s="95" t="s">
        <v>385</v>
      </c>
      <c r="B17" s="95">
        <v>289.36118284757276</v>
      </c>
      <c r="C17" s="95" t="s">
        <v>385</v>
      </c>
      <c r="D17" s="95">
        <v>50.776147222359278</v>
      </c>
      <c r="E17" s="96" t="s">
        <v>385</v>
      </c>
      <c r="F17" s="96">
        <v>224.01076581435885</v>
      </c>
      <c r="G17" s="96" t="s">
        <v>385</v>
      </c>
      <c r="H17" s="96">
        <v>105.00526256763811</v>
      </c>
      <c r="I17" s="96">
        <v>298.94897390888076</v>
      </c>
      <c r="J17" s="96">
        <v>91.273789076666006</v>
      </c>
      <c r="K17" s="96">
        <v>0.39499763408749028</v>
      </c>
      <c r="L17" s="96">
        <v>23.05230604070962</v>
      </c>
      <c r="M17" s="96">
        <v>26.970927056244324</v>
      </c>
      <c r="N17" s="96">
        <v>278.70122441957886</v>
      </c>
      <c r="O17" s="96">
        <v>42.60196853914298</v>
      </c>
      <c r="P17" s="96">
        <v>49.69279611768841</v>
      </c>
      <c r="Q17" s="96">
        <v>30.125532247188168</v>
      </c>
      <c r="R17" s="96">
        <v>99.165526248297354</v>
      </c>
      <c r="S17" s="96">
        <v>122.8366129106937</v>
      </c>
      <c r="T17" s="96">
        <v>133.31626305103435</v>
      </c>
      <c r="U17" s="96">
        <v>103.29789403069996</v>
      </c>
      <c r="V17" s="96">
        <v>76.235835582567319</v>
      </c>
      <c r="W17" s="96">
        <v>50.298443169993064</v>
      </c>
    </row>
    <row r="18" spans="1:23">
      <c r="A18" s="95" t="s">
        <v>385</v>
      </c>
      <c r="B18" s="95">
        <v>263.12880726116134</v>
      </c>
      <c r="C18" s="95" t="s">
        <v>385</v>
      </c>
      <c r="D18" s="95">
        <v>50.996189008071696</v>
      </c>
      <c r="E18" s="96" t="s">
        <v>385</v>
      </c>
      <c r="F18" s="96">
        <v>215.05655323280968</v>
      </c>
      <c r="G18" s="96" t="s">
        <v>385</v>
      </c>
      <c r="H18" s="96">
        <v>93.942840666942431</v>
      </c>
      <c r="I18" s="96">
        <v>299.66211584299026</v>
      </c>
      <c r="J18" s="96">
        <v>102.66425473992105</v>
      </c>
      <c r="K18" s="96">
        <v>0.49121391079073307</v>
      </c>
      <c r="L18" s="96">
        <v>21.153849276989156</v>
      </c>
      <c r="M18" s="96">
        <v>26.988548917317537</v>
      </c>
      <c r="N18" s="96">
        <v>293.84035235574561</v>
      </c>
      <c r="O18" s="96">
        <v>41.483510829035438</v>
      </c>
      <c r="P18" s="96">
        <v>49.71770318319539</v>
      </c>
      <c r="Q18" s="96">
        <v>30.803230536552629</v>
      </c>
      <c r="R18" s="96">
        <v>98.671362644205018</v>
      </c>
      <c r="S18" s="96">
        <v>118.62309266406798</v>
      </c>
      <c r="T18" s="96">
        <v>129.141802839891</v>
      </c>
      <c r="U18" s="96">
        <v>94.455413543314208</v>
      </c>
      <c r="V18" s="96">
        <v>81.948174168973253</v>
      </c>
      <c r="W18" s="96">
        <v>53.510552357864078</v>
      </c>
    </row>
    <row r="19" spans="1:23">
      <c r="A19" s="95" t="s">
        <v>385</v>
      </c>
      <c r="B19" s="95">
        <v>278.80615758120689</v>
      </c>
      <c r="C19" s="95" t="s">
        <v>385</v>
      </c>
      <c r="D19" s="95">
        <v>47.145364089564495</v>
      </c>
      <c r="E19" s="96" t="s">
        <v>385</v>
      </c>
      <c r="F19" s="96">
        <v>222.22389913772469</v>
      </c>
      <c r="G19" s="96" t="s">
        <v>385</v>
      </c>
      <c r="H19" s="96">
        <v>109.09460588929198</v>
      </c>
      <c r="I19" s="96">
        <v>299.34141022513353</v>
      </c>
      <c r="J19" s="96">
        <v>96.28944031803438</v>
      </c>
      <c r="K19" s="96">
        <v>0.51582472274214419</v>
      </c>
      <c r="L19" s="96">
        <v>15.839548177870649</v>
      </c>
      <c r="M19" s="96">
        <v>27.218819930140207</v>
      </c>
      <c r="N19" s="96">
        <v>282.55151718361708</v>
      </c>
      <c r="O19" s="96">
        <v>39.099532738386692</v>
      </c>
      <c r="P19" s="96">
        <v>48.407074285767848</v>
      </c>
      <c r="Q19" s="96">
        <v>29.251447902689002</v>
      </c>
      <c r="R19" s="96">
        <v>96.762758091117831</v>
      </c>
      <c r="S19" s="96">
        <v>121.72370398831032</v>
      </c>
      <c r="T19" s="96">
        <v>133.44096164249953</v>
      </c>
      <c r="U19" s="96">
        <v>97.518568727653729</v>
      </c>
      <c r="V19" s="96">
        <v>82.231543481824062</v>
      </c>
      <c r="W19" s="96">
        <v>48.353600511023537</v>
      </c>
    </row>
    <row r="20" spans="1:23">
      <c r="A20" s="95" t="s">
        <v>385</v>
      </c>
      <c r="B20" s="95">
        <v>236.21784292576061</v>
      </c>
      <c r="C20" s="95" t="s">
        <v>385</v>
      </c>
      <c r="D20" s="95">
        <v>46.562395293965125</v>
      </c>
      <c r="E20" s="96" t="s">
        <v>385</v>
      </c>
      <c r="F20" s="96">
        <v>224.91111021039492</v>
      </c>
      <c r="G20" s="96" t="s">
        <v>385</v>
      </c>
      <c r="H20" s="96">
        <v>90.193919691200506</v>
      </c>
      <c r="I20" s="96">
        <v>298.62506882567743</v>
      </c>
      <c r="J20" s="96">
        <v>96.751088020135654</v>
      </c>
      <c r="K20" s="96">
        <v>0.55623957948620451</v>
      </c>
      <c r="L20" s="96">
        <v>23.947912853034751</v>
      </c>
      <c r="M20" s="96">
        <v>26.338798881477281</v>
      </c>
      <c r="N20" s="96">
        <v>275.40774382594628</v>
      </c>
      <c r="O20" s="96">
        <v>31.405067196198761</v>
      </c>
      <c r="P20" s="96">
        <v>51.377082997537592</v>
      </c>
      <c r="Q20" s="96">
        <v>29.280275537658163</v>
      </c>
      <c r="R20" s="96">
        <v>104.56485077558611</v>
      </c>
      <c r="S20" s="96">
        <v>121.50464666902025</v>
      </c>
      <c r="T20" s="96">
        <v>132.84619290188132</v>
      </c>
      <c r="U20" s="96">
        <v>96.658486930796158</v>
      </c>
      <c r="V20" s="96">
        <v>80.229255237220144</v>
      </c>
      <c r="W20" s="96">
        <v>52.532850301075896</v>
      </c>
    </row>
    <row r="21" spans="1:23">
      <c r="A21" s="95" t="s">
        <v>385</v>
      </c>
      <c r="B21" s="95">
        <v>281.00595292076434</v>
      </c>
      <c r="C21" s="95" t="s">
        <v>385</v>
      </c>
      <c r="D21" s="95">
        <v>57.030928713905986</v>
      </c>
      <c r="E21" s="96" t="s">
        <v>385</v>
      </c>
      <c r="F21" s="96">
        <v>218.38270311056672</v>
      </c>
      <c r="G21" s="96" t="s">
        <v>385</v>
      </c>
      <c r="H21" s="96">
        <v>89.089966522173057</v>
      </c>
      <c r="I21" s="96">
        <v>300.26758710103314</v>
      </c>
      <c r="J21" s="96">
        <v>104.19205507555837</v>
      </c>
      <c r="K21" s="96">
        <v>0.49717638627110899</v>
      </c>
      <c r="L21" s="96">
        <v>26.341055510296204</v>
      </c>
      <c r="M21" s="96">
        <v>25.745470307888983</v>
      </c>
      <c r="N21" s="96">
        <v>278.44137548219669</v>
      </c>
      <c r="O21" s="96">
        <v>39.091119075191784</v>
      </c>
      <c r="P21" s="96">
        <v>51.679190360008946</v>
      </c>
      <c r="Q21" s="96">
        <v>30.07344596923555</v>
      </c>
      <c r="R21" s="96">
        <v>103.32922840205708</v>
      </c>
      <c r="S21" s="96">
        <v>121.7582169457383</v>
      </c>
      <c r="T21" s="96">
        <v>132.4266679946839</v>
      </c>
      <c r="U21" s="96">
        <v>103.66643667779412</v>
      </c>
      <c r="V21" s="96">
        <v>81.161761370857903</v>
      </c>
      <c r="W21" s="96">
        <v>48.44027891547708</v>
      </c>
    </row>
    <row r="22" spans="1:23">
      <c r="A22" s="95" t="s">
        <v>385</v>
      </c>
      <c r="B22" s="95">
        <v>250.419342745612</v>
      </c>
      <c r="C22" s="95" t="s">
        <v>385</v>
      </c>
      <c r="D22" s="95">
        <v>61.662341056187884</v>
      </c>
      <c r="E22" s="96" t="s">
        <v>385</v>
      </c>
      <c r="F22" s="96">
        <v>211.24377966170522</v>
      </c>
      <c r="G22" s="96" t="s">
        <v>385</v>
      </c>
      <c r="H22" s="96">
        <v>100.56239660452894</v>
      </c>
      <c r="I22" s="96">
        <v>300.90367525109411</v>
      </c>
      <c r="J22" s="96">
        <v>105.32256451494227</v>
      </c>
      <c r="K22" s="96">
        <v>0.46567154956529871</v>
      </c>
      <c r="L22" s="96">
        <v>22.139127296545968</v>
      </c>
      <c r="M22" s="96">
        <v>25.53616776005201</v>
      </c>
      <c r="N22" s="96">
        <v>282.59728408759958</v>
      </c>
      <c r="O22" s="96">
        <v>35.608595318845126</v>
      </c>
      <c r="P22" s="96">
        <v>48.677049262356711</v>
      </c>
      <c r="Q22" s="96">
        <v>28.10037443033649</v>
      </c>
      <c r="R22" s="96">
        <v>103.50896445454784</v>
      </c>
      <c r="S22" s="96">
        <v>117.95488334073522</v>
      </c>
      <c r="T22" s="96">
        <v>127.74717446328627</v>
      </c>
      <c r="U22" s="96">
        <v>92.631559711070196</v>
      </c>
      <c r="V22" s="96">
        <v>78.229075254735562</v>
      </c>
      <c r="W22" s="96">
        <v>48.165840066068789</v>
      </c>
    </row>
    <row r="23" spans="1:23">
      <c r="A23" s="95" t="s">
        <v>385</v>
      </c>
      <c r="B23" s="95">
        <v>275.66339659595229</v>
      </c>
      <c r="C23" s="95" t="s">
        <v>385</v>
      </c>
      <c r="D23" s="95">
        <v>52.190027405272289</v>
      </c>
      <c r="E23" s="96" t="s">
        <v>385</v>
      </c>
      <c r="F23" s="96">
        <v>217.18372225062541</v>
      </c>
      <c r="G23" s="96" t="s">
        <v>385</v>
      </c>
      <c r="H23" s="96">
        <v>91.939480435717698</v>
      </c>
      <c r="I23" s="96">
        <v>300.20523968378029</v>
      </c>
      <c r="J23" s="96">
        <v>100.90702386378774</v>
      </c>
      <c r="K23" s="96">
        <v>0.4488112175993742</v>
      </c>
      <c r="L23" s="96">
        <v>20.97420606855534</v>
      </c>
      <c r="M23" s="96">
        <v>25.689424710466682</v>
      </c>
      <c r="N23" s="96">
        <v>279.52640241656843</v>
      </c>
      <c r="O23" s="96">
        <v>41.318699893189994</v>
      </c>
      <c r="P23" s="96">
        <v>51.59323423624221</v>
      </c>
      <c r="Q23" s="96">
        <v>29.066951008933259</v>
      </c>
      <c r="R23" s="96">
        <v>99.064082378397742</v>
      </c>
      <c r="S23" s="96">
        <v>120.14598196393828</v>
      </c>
      <c r="T23" s="96">
        <v>130.0133784539961</v>
      </c>
      <c r="U23" s="96">
        <v>97.097824700573042</v>
      </c>
      <c r="V23" s="96">
        <v>82.197290301648891</v>
      </c>
      <c r="W23" s="96">
        <v>51.235086896468623</v>
      </c>
    </row>
    <row r="24" spans="1:23">
      <c r="A24" s="95" t="s">
        <v>385</v>
      </c>
      <c r="B24" s="95">
        <v>301.88454990352164</v>
      </c>
      <c r="C24" s="95" t="s">
        <v>385</v>
      </c>
      <c r="D24" s="95">
        <v>45.396900183813685</v>
      </c>
      <c r="E24" s="96" t="s">
        <v>386</v>
      </c>
      <c r="F24" s="96">
        <v>226.52625585676796</v>
      </c>
      <c r="G24" s="96" t="s">
        <v>385</v>
      </c>
      <c r="H24" s="96">
        <v>93.833855132272475</v>
      </c>
      <c r="I24" s="96">
        <v>298.95850411338427</v>
      </c>
      <c r="J24" s="96">
        <v>100.0931393063286</v>
      </c>
      <c r="K24" s="96">
        <v>0.5414999436906941</v>
      </c>
      <c r="L24" s="96">
        <v>24.168024842248421</v>
      </c>
      <c r="M24" s="96">
        <v>27.07859845649411</v>
      </c>
      <c r="N24" s="96">
        <v>279.38794798942428</v>
      </c>
      <c r="O24" s="96">
        <v>42.100778323807354</v>
      </c>
      <c r="P24" s="96">
        <v>52.29493507762821</v>
      </c>
      <c r="Q24" s="96">
        <v>28.931825885222974</v>
      </c>
      <c r="R24" s="96">
        <v>99.21591012053706</v>
      </c>
      <c r="S24" s="96">
        <v>121.00554132288784</v>
      </c>
      <c r="T24" s="96">
        <v>122.94062369928966</v>
      </c>
      <c r="U24" s="96">
        <v>104.31573604075678</v>
      </c>
      <c r="V24" s="96">
        <v>77.311511365638552</v>
      </c>
      <c r="W24" s="96">
        <v>50.085979384059264</v>
      </c>
    </row>
    <row r="25" spans="1:23">
      <c r="A25" s="95" t="s">
        <v>385</v>
      </c>
      <c r="B25" s="95">
        <v>308.4399067081107</v>
      </c>
      <c r="C25" s="95" t="s">
        <v>385</v>
      </c>
      <c r="D25" s="95">
        <v>66.344505613536853</v>
      </c>
      <c r="E25" s="96" t="s">
        <v>386</v>
      </c>
      <c r="F25" s="96">
        <v>226.27343450686593</v>
      </c>
      <c r="G25" s="96" t="s">
        <v>385</v>
      </c>
      <c r="H25" s="96">
        <v>91.453651344939104</v>
      </c>
      <c r="I25" s="96">
        <v>300.3884574954572</v>
      </c>
      <c r="J25" s="96">
        <v>98.98660726321846</v>
      </c>
      <c r="K25" s="96">
        <v>0.54578630079815493</v>
      </c>
      <c r="L25" s="96">
        <v>21.337035894741213</v>
      </c>
      <c r="M25" s="96">
        <v>27.210820998208796</v>
      </c>
      <c r="N25" s="96">
        <v>282.58114192935619</v>
      </c>
      <c r="O25" s="96">
        <v>42.989063158292495</v>
      </c>
      <c r="P25" s="96">
        <v>52.285423597677294</v>
      </c>
      <c r="Q25" s="96">
        <v>28.842443462952403</v>
      </c>
      <c r="R25" s="96">
        <v>97.743489582178555</v>
      </c>
      <c r="S25" s="96">
        <v>123.23079337555028</v>
      </c>
      <c r="T25" s="96">
        <v>131.09428750117192</v>
      </c>
      <c r="U25" s="96">
        <v>94.745909168333441</v>
      </c>
      <c r="V25" s="96">
        <v>80.246460503262838</v>
      </c>
      <c r="W25" s="96">
        <v>52.876738454731999</v>
      </c>
    </row>
    <row r="26" spans="1:23">
      <c r="A26" s="95" t="s">
        <v>385</v>
      </c>
      <c r="B26" s="95">
        <v>243.55017443630723</v>
      </c>
      <c r="C26" s="95" t="s">
        <v>385</v>
      </c>
      <c r="D26" s="95">
        <v>50.449966260197279</v>
      </c>
      <c r="E26" s="96" t="s">
        <v>385</v>
      </c>
      <c r="F26" s="96">
        <v>218.41605395003961</v>
      </c>
      <c r="G26" s="96" t="s">
        <v>385</v>
      </c>
      <c r="H26" s="96">
        <v>74.661677087898667</v>
      </c>
      <c r="I26" s="96">
        <v>298.73156189540907</v>
      </c>
      <c r="J26" s="96">
        <v>106.0348084097931</v>
      </c>
      <c r="K26" s="96">
        <v>0.46903942060718762</v>
      </c>
      <c r="L26" s="96">
        <v>28.213816714560625</v>
      </c>
      <c r="M26" s="96">
        <v>25.832842258507824</v>
      </c>
      <c r="N26" s="96">
        <v>279.55417664905031</v>
      </c>
      <c r="O26" s="96">
        <v>41.778024768884194</v>
      </c>
      <c r="P26" s="96">
        <v>50.611880024178021</v>
      </c>
      <c r="Q26" s="96">
        <v>28.550995514994785</v>
      </c>
      <c r="R26" s="96">
        <v>99.920482624165132</v>
      </c>
      <c r="S26" s="96">
        <v>120.79310181252822</v>
      </c>
      <c r="T26" s="96">
        <v>133.82077447201442</v>
      </c>
      <c r="U26" s="96">
        <v>95.780577454460087</v>
      </c>
      <c r="V26" s="96">
        <v>83.380582051064962</v>
      </c>
      <c r="W26" s="96">
        <v>51.785046894172361</v>
      </c>
    </row>
    <row r="27" spans="1:23">
      <c r="A27" s="95" t="s">
        <v>385</v>
      </c>
      <c r="B27" s="95">
        <v>273.2993534741662</v>
      </c>
      <c r="C27" s="95" t="s">
        <v>385</v>
      </c>
      <c r="D27" s="95">
        <v>57.411698573443665</v>
      </c>
      <c r="E27" s="96" t="s">
        <v>385</v>
      </c>
      <c r="F27" s="96">
        <v>216.37142642672177</v>
      </c>
      <c r="G27" s="96" t="s">
        <v>385</v>
      </c>
      <c r="H27" s="96">
        <v>90.102347821982278</v>
      </c>
      <c r="I27" s="96">
        <v>300.9350815404494</v>
      </c>
      <c r="J27" s="96">
        <v>95.553134725821707</v>
      </c>
      <c r="K27" s="96">
        <v>0.5793835001991311</v>
      </c>
      <c r="L27" s="96">
        <v>19.073244444653156</v>
      </c>
      <c r="M27" s="96">
        <v>26.202278237251054</v>
      </c>
      <c r="N27" s="96">
        <v>287.0998290706878</v>
      </c>
      <c r="O27" s="96">
        <v>39.944309027973283</v>
      </c>
      <c r="P27" s="96">
        <v>52.238000729591306</v>
      </c>
      <c r="Q27" s="96">
        <v>30.141856130522182</v>
      </c>
      <c r="R27" s="96">
        <v>101.94344829547805</v>
      </c>
      <c r="S27" s="96">
        <v>118.9103133606899</v>
      </c>
      <c r="T27" s="96">
        <v>126.60318018161465</v>
      </c>
      <c r="U27" s="96">
        <v>102.44657459589979</v>
      </c>
      <c r="V27" s="96">
        <v>78.994234931990349</v>
      </c>
      <c r="W27" s="96">
        <v>51.408510111848159</v>
      </c>
    </row>
    <row r="28" spans="1:23">
      <c r="A28" s="95" t="s">
        <v>385</v>
      </c>
      <c r="B28" s="95">
        <v>323.89891836459071</v>
      </c>
      <c r="C28" s="95" t="s">
        <v>385</v>
      </c>
      <c r="D28" s="95">
        <v>56.491846351111136</v>
      </c>
      <c r="E28" s="96" t="s">
        <v>385</v>
      </c>
      <c r="F28" s="96">
        <v>220.16387794796864</v>
      </c>
      <c r="G28" s="96" t="s">
        <v>385</v>
      </c>
      <c r="H28" s="96">
        <v>75.685976127454524</v>
      </c>
      <c r="I28" s="96">
        <v>300.38897728169349</v>
      </c>
      <c r="J28" s="96">
        <v>98.204480355779666</v>
      </c>
      <c r="K28" s="96">
        <v>0.41085991222103557</v>
      </c>
      <c r="L28" s="96">
        <v>22.994318592838678</v>
      </c>
      <c r="M28" s="96">
        <v>26.068312685642162</v>
      </c>
      <c r="N28" s="96">
        <v>277.09806093532859</v>
      </c>
      <c r="O28" s="96">
        <v>47.320392758671765</v>
      </c>
      <c r="P28" s="96">
        <v>50.879697784222309</v>
      </c>
      <c r="Q28" s="96">
        <v>31.02208865001441</v>
      </c>
      <c r="R28" s="96">
        <v>99.588763608953428</v>
      </c>
      <c r="S28" s="96">
        <v>122.46879908472636</v>
      </c>
      <c r="T28" s="96">
        <v>129.83699079179749</v>
      </c>
      <c r="U28" s="96">
        <v>99.294248918106376</v>
      </c>
      <c r="V28" s="96">
        <v>80.93496417664818</v>
      </c>
      <c r="W28" s="96">
        <v>46.6507267595223</v>
      </c>
    </row>
    <row r="29" spans="1:23">
      <c r="A29" s="95" t="s">
        <v>385</v>
      </c>
      <c r="B29" s="95">
        <v>304.58478135848202</v>
      </c>
      <c r="C29" s="95" t="s">
        <v>385</v>
      </c>
      <c r="D29" s="95">
        <v>46.351591885045302</v>
      </c>
      <c r="E29" s="96" t="s">
        <v>385</v>
      </c>
      <c r="F29" s="96">
        <v>218.83580886981784</v>
      </c>
      <c r="G29" s="96" t="s">
        <v>385</v>
      </c>
      <c r="H29" s="96">
        <v>88.152036756582859</v>
      </c>
      <c r="I29" s="96">
        <v>299.95726030157329</v>
      </c>
      <c r="J29" s="96">
        <v>94.199151438477045</v>
      </c>
      <c r="K29" s="96">
        <v>0.37100984128882364</v>
      </c>
      <c r="L29" s="96">
        <v>27.013766347735917</v>
      </c>
      <c r="M29" s="96">
        <v>26.186405319979702</v>
      </c>
      <c r="N29" s="96">
        <v>282.35685797970348</v>
      </c>
      <c r="O29" s="96">
        <v>38.620429374853998</v>
      </c>
      <c r="P29" s="96">
        <v>51.343643432248655</v>
      </c>
      <c r="Q29" s="96">
        <v>29.503150389319796</v>
      </c>
      <c r="R29" s="96">
        <v>99.110107936992065</v>
      </c>
      <c r="S29" s="96">
        <v>114.93459030669763</v>
      </c>
      <c r="T29" s="96">
        <v>135.1543077603273</v>
      </c>
      <c r="U29" s="96">
        <v>96.034483738571296</v>
      </c>
      <c r="V29" s="96">
        <v>80.625486836222791</v>
      </c>
      <c r="W29" s="96">
        <v>49.503246870233099</v>
      </c>
    </row>
    <row r="30" spans="1:23">
      <c r="A30" s="95" t="s">
        <v>385</v>
      </c>
      <c r="B30" s="95">
        <v>308.59794274331023</v>
      </c>
      <c r="C30" s="95" t="s">
        <v>385</v>
      </c>
      <c r="D30" s="95">
        <v>57.373623168825986</v>
      </c>
      <c r="E30" s="96" t="s">
        <v>385</v>
      </c>
      <c r="F30" s="96">
        <v>220.62626440911913</v>
      </c>
      <c r="G30" s="96" t="s">
        <v>385</v>
      </c>
      <c r="H30" s="96">
        <v>87.109293885865284</v>
      </c>
      <c r="I30" s="96">
        <v>299.97129571086367</v>
      </c>
      <c r="J30" s="96">
        <v>106.39203658619846</v>
      </c>
      <c r="K30" s="96">
        <v>0.52115057781873042</v>
      </c>
      <c r="L30" s="96">
        <v>17.71972562476887</v>
      </c>
      <c r="M30" s="96">
        <v>26.622719619439739</v>
      </c>
      <c r="N30" s="96">
        <v>279.92823098852892</v>
      </c>
      <c r="O30" s="96">
        <v>42.912128130682717</v>
      </c>
      <c r="P30" s="96">
        <v>50.563848662613609</v>
      </c>
      <c r="Q30" s="96">
        <v>30.698552493844485</v>
      </c>
      <c r="R30" s="96">
        <v>102.29087041384714</v>
      </c>
      <c r="S30" s="96">
        <v>116.94108981064794</v>
      </c>
      <c r="T30" s="96">
        <v>131.14223735620735</v>
      </c>
      <c r="U30" s="96">
        <v>99.080969314152867</v>
      </c>
      <c r="V30" s="96">
        <v>78.138667767031919</v>
      </c>
      <c r="W30" s="96">
        <v>50.964637830940312</v>
      </c>
    </row>
    <row r="31" spans="1:23">
      <c r="A31" s="95" t="s">
        <v>385</v>
      </c>
      <c r="B31" s="95">
        <v>285.81637839611722</v>
      </c>
      <c r="C31" s="95" t="s">
        <v>385</v>
      </c>
      <c r="D31" s="95">
        <v>51.746859453787252</v>
      </c>
      <c r="E31" s="96" t="s">
        <v>386</v>
      </c>
      <c r="F31" s="96">
        <v>226.89388201929873</v>
      </c>
      <c r="G31" s="96" t="s">
        <v>385</v>
      </c>
      <c r="H31" s="96">
        <v>84.447902951445144</v>
      </c>
      <c r="I31" s="96">
        <v>301.5165708525509</v>
      </c>
      <c r="J31" s="96">
        <v>99.606225279196195</v>
      </c>
      <c r="K31" s="96">
        <v>0.52976549134777584</v>
      </c>
      <c r="L31" s="96">
        <v>24.579524856933094</v>
      </c>
      <c r="M31" s="96">
        <v>27.327899617292115</v>
      </c>
      <c r="N31" s="96">
        <v>282.87768014443185</v>
      </c>
      <c r="O31" s="96">
        <v>38.127493041432039</v>
      </c>
      <c r="P31" s="96">
        <v>54.146911752386629</v>
      </c>
      <c r="Q31" s="96">
        <v>28.873807149103726</v>
      </c>
      <c r="R31" s="96">
        <v>99.158139081136042</v>
      </c>
      <c r="S31" s="96">
        <v>123.8340517274428</v>
      </c>
      <c r="T31" s="96">
        <v>127.55641885852845</v>
      </c>
      <c r="U31" s="96">
        <v>102.90386188381251</v>
      </c>
      <c r="V31" s="96">
        <v>82.579816676816691</v>
      </c>
      <c r="W31" s="96">
        <v>52.289520899395569</v>
      </c>
    </row>
    <row r="32" spans="1:23">
      <c r="A32" s="95" t="s">
        <v>385</v>
      </c>
      <c r="B32" s="95">
        <v>226.3894066314711</v>
      </c>
      <c r="C32" s="95" t="s">
        <v>385</v>
      </c>
      <c r="D32" s="95">
        <v>37.280054737131834</v>
      </c>
      <c r="E32" s="96" t="s">
        <v>385</v>
      </c>
      <c r="F32" s="96">
        <v>211.96419604522535</v>
      </c>
      <c r="G32" s="96" t="s">
        <v>387</v>
      </c>
      <c r="H32" s="96">
        <v>53.831297340714833</v>
      </c>
      <c r="I32" s="96">
        <v>300.60170379144694</v>
      </c>
      <c r="J32" s="96">
        <v>98.686337143734505</v>
      </c>
      <c r="K32" s="96">
        <v>0.51961598359296224</v>
      </c>
      <c r="L32" s="96">
        <v>21.595754819305668</v>
      </c>
      <c r="M32" s="96">
        <v>25.565637601455908</v>
      </c>
      <c r="N32" s="96">
        <v>278.55488679028349</v>
      </c>
      <c r="O32" s="96">
        <v>33.704660020285388</v>
      </c>
      <c r="P32" s="96">
        <v>46.739249778111073</v>
      </c>
      <c r="Q32" s="96">
        <v>28.557056438561293</v>
      </c>
      <c r="R32" s="96">
        <v>97.552922428115281</v>
      </c>
      <c r="S32" s="96">
        <v>122.59651596271257</v>
      </c>
      <c r="T32" s="96">
        <v>128.45338856338523</v>
      </c>
      <c r="U32" s="96">
        <v>95.513738521157194</v>
      </c>
      <c r="V32" s="96">
        <v>75.933533811305779</v>
      </c>
      <c r="W32" s="96">
        <v>51.75805914084188</v>
      </c>
    </row>
    <row r="33" spans="1:23">
      <c r="A33" s="95" t="s">
        <v>385</v>
      </c>
      <c r="B33" s="95">
        <v>305.20031724287315</v>
      </c>
      <c r="C33" s="95" t="s">
        <v>385</v>
      </c>
      <c r="D33" s="95">
        <v>53.325138303620761</v>
      </c>
      <c r="E33" s="96" t="s">
        <v>385</v>
      </c>
      <c r="F33" s="96">
        <v>221.54597940166693</v>
      </c>
      <c r="G33" s="96" t="s">
        <v>385</v>
      </c>
      <c r="H33" s="96">
        <v>94.347116033200564</v>
      </c>
      <c r="I33" s="96">
        <v>300.60144015891422</v>
      </c>
      <c r="J33" s="96">
        <v>98.877386034403727</v>
      </c>
      <c r="K33" s="96">
        <v>0.40513562743635045</v>
      </c>
      <c r="L33" s="96">
        <v>20.326239806128289</v>
      </c>
      <c r="M33" s="96">
        <v>25.810300154494108</v>
      </c>
      <c r="N33" s="96">
        <v>272.12299330651518</v>
      </c>
      <c r="O33" s="96">
        <v>45.06105745805084</v>
      </c>
      <c r="P33" s="96">
        <v>51.010069045433589</v>
      </c>
      <c r="Q33" s="96">
        <v>30.120217956911073</v>
      </c>
      <c r="R33" s="96">
        <v>97.003889907725735</v>
      </c>
      <c r="S33" s="96">
        <v>119.94393677651671</v>
      </c>
      <c r="T33" s="96">
        <v>131.39385498835881</v>
      </c>
      <c r="U33" s="96">
        <v>103.63414948150711</v>
      </c>
      <c r="V33" s="96">
        <v>78.025791732717295</v>
      </c>
      <c r="W33" s="96">
        <v>54.109065629202313</v>
      </c>
    </row>
    <row r="34" spans="1:23">
      <c r="A34" s="95" t="s">
        <v>385</v>
      </c>
      <c r="B34" s="95">
        <v>255.75304047052816</v>
      </c>
      <c r="C34" s="95" t="s">
        <v>385</v>
      </c>
      <c r="D34" s="95">
        <v>51.286085442585083</v>
      </c>
      <c r="E34" s="96" t="s">
        <v>385</v>
      </c>
      <c r="F34" s="96">
        <v>224.30547260511244</v>
      </c>
      <c r="G34" s="96" t="s">
        <v>385</v>
      </c>
      <c r="H34" s="96">
        <v>60.083765298736211</v>
      </c>
      <c r="I34" s="96">
        <v>299.86141173509577</v>
      </c>
      <c r="J34" s="96">
        <v>118.11171127019304</v>
      </c>
      <c r="K34" s="96">
        <v>0.58524561782475126</v>
      </c>
      <c r="L34" s="96">
        <v>26.847250011914596</v>
      </c>
      <c r="M34" s="96">
        <v>27.041216203875077</v>
      </c>
      <c r="N34" s="96">
        <v>278.62043356857134</v>
      </c>
      <c r="O34" s="96">
        <v>31.495048250006526</v>
      </c>
      <c r="P34" s="96">
        <v>50.011376941686379</v>
      </c>
      <c r="Q34" s="96">
        <v>32.568583789326837</v>
      </c>
      <c r="R34" s="96">
        <v>95.914331778316722</v>
      </c>
      <c r="S34" s="96">
        <v>125.04877880758056</v>
      </c>
      <c r="T34" s="96">
        <v>130.10509803462315</v>
      </c>
      <c r="U34" s="96">
        <v>99.055756097621796</v>
      </c>
      <c r="V34" s="96">
        <v>81.11905740687483</v>
      </c>
      <c r="W34" s="96">
        <v>54.185854045228133</v>
      </c>
    </row>
    <row r="35" spans="1:23">
      <c r="A35" s="95" t="s">
        <v>385</v>
      </c>
      <c r="B35" s="95">
        <v>260.5603607631632</v>
      </c>
      <c r="C35" s="95" t="s">
        <v>385</v>
      </c>
      <c r="D35" s="95">
        <v>42.468257133842464</v>
      </c>
      <c r="E35" s="96" t="s">
        <v>385</v>
      </c>
      <c r="F35" s="96">
        <v>212.50816737919843</v>
      </c>
      <c r="G35" s="96" t="s">
        <v>385</v>
      </c>
      <c r="H35" s="96">
        <v>77.039998686477901</v>
      </c>
      <c r="I35" s="96">
        <v>300.19776388671227</v>
      </c>
      <c r="J35" s="96">
        <v>100.94261652093657</v>
      </c>
      <c r="K35" s="96">
        <v>0.52002358259634807</v>
      </c>
      <c r="L35" s="96">
        <v>31.334232344403532</v>
      </c>
      <c r="M35" s="96">
        <v>25.714540142053362</v>
      </c>
      <c r="N35" s="96">
        <v>285.89563538499033</v>
      </c>
      <c r="O35" s="96">
        <v>39.317283874289075</v>
      </c>
      <c r="P35" s="96">
        <v>50.006503367676643</v>
      </c>
      <c r="Q35" s="96">
        <v>31.929160011371248</v>
      </c>
      <c r="R35" s="96">
        <v>101.22187851281917</v>
      </c>
      <c r="S35" s="96">
        <v>117.87060586683329</v>
      </c>
      <c r="T35" s="96">
        <v>126.92673269780047</v>
      </c>
      <c r="U35" s="96">
        <v>101.87104096172789</v>
      </c>
      <c r="V35" s="96">
        <v>78.683004765651248</v>
      </c>
      <c r="W35" s="96">
        <v>49.423445554604939</v>
      </c>
    </row>
    <row r="36" spans="1:23">
      <c r="A36" s="95" t="s">
        <v>385</v>
      </c>
      <c r="B36" s="95">
        <v>341.43585163406874</v>
      </c>
      <c r="C36" s="95" t="s">
        <v>385</v>
      </c>
      <c r="D36" s="95">
        <v>51.917506896630798</v>
      </c>
      <c r="E36" s="96" t="s">
        <v>385</v>
      </c>
      <c r="F36" s="96">
        <v>222.76613189941401</v>
      </c>
      <c r="G36" s="96" t="s">
        <v>385</v>
      </c>
      <c r="H36" s="96">
        <v>104.76079575730267</v>
      </c>
      <c r="I36" s="96">
        <v>300.28773368919821</v>
      </c>
      <c r="J36" s="96">
        <v>94.575984188510432</v>
      </c>
      <c r="K36" s="96">
        <v>0.61298612917091877</v>
      </c>
      <c r="L36" s="96">
        <v>24.112880196395608</v>
      </c>
      <c r="M36" s="96">
        <v>27.070340949385312</v>
      </c>
      <c r="N36" s="96">
        <v>283.47167627775656</v>
      </c>
      <c r="O36" s="96">
        <v>47.581634642742571</v>
      </c>
      <c r="P36" s="96">
        <v>51.992572200360094</v>
      </c>
      <c r="Q36" s="96">
        <v>29.349577960189784</v>
      </c>
      <c r="R36" s="96">
        <v>94.863438641093936</v>
      </c>
      <c r="S36" s="96">
        <v>120.97553556174839</v>
      </c>
      <c r="T36" s="96">
        <v>130.44010141576229</v>
      </c>
      <c r="U36" s="96">
        <v>99.072865063807853</v>
      </c>
      <c r="V36" s="96">
        <v>80.449017815812496</v>
      </c>
      <c r="W36" s="96">
        <v>51.904724143045065</v>
      </c>
    </row>
    <row r="37" spans="1:23">
      <c r="A37" s="95" t="s">
        <v>385</v>
      </c>
      <c r="B37" s="95">
        <v>314.38052219735351</v>
      </c>
      <c r="C37" s="95" t="s">
        <v>385</v>
      </c>
      <c r="D37" s="95">
        <v>56.618400619197942</v>
      </c>
      <c r="E37" s="96" t="s">
        <v>385</v>
      </c>
      <c r="F37" s="96">
        <v>220.17158601350573</v>
      </c>
      <c r="G37" s="96" t="s">
        <v>385</v>
      </c>
      <c r="H37" s="96">
        <v>89.648580367495597</v>
      </c>
      <c r="I37" s="96">
        <v>301.04975148325246</v>
      </c>
      <c r="J37" s="96">
        <v>99.803968707776235</v>
      </c>
      <c r="K37" s="96">
        <v>0.53910263992179619</v>
      </c>
      <c r="L37" s="96">
        <v>23.165303752021135</v>
      </c>
      <c r="M37" s="96">
        <v>26.425586835925284</v>
      </c>
      <c r="N37" s="96">
        <v>280.20750475420317</v>
      </c>
      <c r="O37" s="96">
        <v>44.843452767621656</v>
      </c>
      <c r="P37" s="96">
        <v>50.06966524141982</v>
      </c>
      <c r="Q37" s="96">
        <v>30.147776666186214</v>
      </c>
      <c r="R37" s="96">
        <v>98.647191135426155</v>
      </c>
      <c r="S37" s="96">
        <v>124.15031811681875</v>
      </c>
      <c r="T37" s="96">
        <v>127.48362581583025</v>
      </c>
      <c r="U37" s="96">
        <v>100.58050205917708</v>
      </c>
      <c r="V37" s="96">
        <v>80.857883665254292</v>
      </c>
      <c r="W37" s="96">
        <v>49.247989055338351</v>
      </c>
    </row>
    <row r="38" spans="1:23">
      <c r="A38" s="95" t="s">
        <v>385</v>
      </c>
      <c r="B38" s="95">
        <v>232.9611030826859</v>
      </c>
      <c r="C38" s="95" t="s">
        <v>385</v>
      </c>
      <c r="D38" s="95">
        <v>55.70104047441194</v>
      </c>
      <c r="E38" s="96" t="s">
        <v>386</v>
      </c>
      <c r="F38" s="96">
        <v>233.32543069954306</v>
      </c>
      <c r="G38" s="96" t="s">
        <v>385</v>
      </c>
      <c r="H38" s="96">
        <v>100.93160253448426</v>
      </c>
      <c r="I38" s="96">
        <v>300.58849897662094</v>
      </c>
      <c r="J38" s="96">
        <v>97.816146578400847</v>
      </c>
      <c r="K38" s="96">
        <v>0.57066851616464931</v>
      </c>
      <c r="L38" s="96">
        <v>25.618329423629721</v>
      </c>
      <c r="M38" s="96">
        <v>27.552995790737608</v>
      </c>
      <c r="N38" s="96">
        <v>273.43070336880879</v>
      </c>
      <c r="O38" s="96">
        <v>32.261660564913434</v>
      </c>
      <c r="P38" s="96">
        <v>52.689443854902912</v>
      </c>
      <c r="Q38" s="96">
        <v>28.132744203004755</v>
      </c>
      <c r="R38" s="96">
        <v>100.69327073095306</v>
      </c>
      <c r="S38" s="96">
        <v>121.050757767996</v>
      </c>
      <c r="T38" s="96">
        <v>130.95875577401353</v>
      </c>
      <c r="U38" s="96">
        <v>94.731047419220232</v>
      </c>
      <c r="V38" s="96">
        <v>80.885200856169689</v>
      </c>
      <c r="W38" s="96">
        <v>50.98033585400465</v>
      </c>
    </row>
    <row r="39" spans="1:23">
      <c r="A39" s="95" t="s">
        <v>385</v>
      </c>
      <c r="B39" s="95">
        <v>288.3733040946463</v>
      </c>
      <c r="C39" s="95" t="s">
        <v>385</v>
      </c>
      <c r="D39" s="95">
        <v>63.544749204260825</v>
      </c>
      <c r="E39" s="96" t="s">
        <v>385</v>
      </c>
      <c r="F39" s="96">
        <v>224.73480444899053</v>
      </c>
      <c r="G39" s="96" t="s">
        <v>385</v>
      </c>
      <c r="H39" s="96">
        <v>108.98772474213376</v>
      </c>
      <c r="I39" s="96">
        <v>300.48091319086518</v>
      </c>
      <c r="J39" s="96">
        <v>95.127120866738238</v>
      </c>
      <c r="K39" s="96">
        <v>0.45973381962010484</v>
      </c>
      <c r="L39" s="96">
        <v>23.61636753545902</v>
      </c>
      <c r="M39" s="96">
        <v>26.542819958397065</v>
      </c>
      <c r="N39" s="96">
        <v>277.96508837298467</v>
      </c>
      <c r="O39" s="96">
        <v>43.159467156747866</v>
      </c>
      <c r="P39" s="96">
        <v>52.863403651859173</v>
      </c>
      <c r="Q39" s="96">
        <v>28.807564658115183</v>
      </c>
      <c r="R39" s="96">
        <v>95.894673132040509</v>
      </c>
      <c r="S39" s="96">
        <v>121.87649287957058</v>
      </c>
      <c r="T39" s="96">
        <v>135.21392288812601</v>
      </c>
      <c r="U39" s="96">
        <v>101.50836286930749</v>
      </c>
      <c r="V39" s="96">
        <v>78.189489126107574</v>
      </c>
      <c r="W39" s="96">
        <v>51.111283219660933</v>
      </c>
    </row>
    <row r="40" spans="1:23">
      <c r="A40" s="95" t="s">
        <v>385</v>
      </c>
      <c r="B40" s="95">
        <v>393.70033587744319</v>
      </c>
      <c r="C40" s="95" t="s">
        <v>385</v>
      </c>
      <c r="D40" s="95">
        <v>54.811146948527046</v>
      </c>
      <c r="E40" s="96" t="s">
        <v>385</v>
      </c>
      <c r="F40" s="96">
        <v>216.98026231689596</v>
      </c>
      <c r="G40" s="96" t="s">
        <v>385</v>
      </c>
      <c r="H40" s="96">
        <v>93.682741447214809</v>
      </c>
      <c r="I40" s="96">
        <v>299.53236426290107</v>
      </c>
      <c r="J40" s="96">
        <v>103.6368868534808</v>
      </c>
      <c r="K40" s="96">
        <v>0.31851303007074344</v>
      </c>
      <c r="L40" s="96">
        <v>29.754580394596395</v>
      </c>
      <c r="M40" s="96">
        <v>25.654363703479376</v>
      </c>
      <c r="N40" s="96">
        <v>274.63027716204596</v>
      </c>
      <c r="O40" s="96">
        <v>57.36639176107515</v>
      </c>
      <c r="P40" s="96">
        <v>48.974345656037073</v>
      </c>
      <c r="Q40" s="96">
        <v>28.038222315503731</v>
      </c>
      <c r="R40" s="96">
        <v>100.05699129892405</v>
      </c>
      <c r="S40" s="96">
        <v>121.54872148595088</v>
      </c>
      <c r="T40" s="96">
        <v>131.87384742329573</v>
      </c>
      <c r="U40" s="96">
        <v>98.453843010614236</v>
      </c>
      <c r="V40" s="96">
        <v>81.130774775101699</v>
      </c>
      <c r="W40" s="96">
        <v>50.715581192287523</v>
      </c>
    </row>
    <row r="41" spans="1:23">
      <c r="A41" s="95" t="s">
        <v>385</v>
      </c>
      <c r="B41" s="95">
        <v>269.44059719960961</v>
      </c>
      <c r="C41" s="95" t="s">
        <v>385</v>
      </c>
      <c r="D41" s="95">
        <v>48.549606383326044</v>
      </c>
      <c r="E41" s="96" t="s">
        <v>386</v>
      </c>
      <c r="F41" s="96">
        <v>230.42081259076554</v>
      </c>
      <c r="G41" s="96" t="s">
        <v>385</v>
      </c>
      <c r="H41" s="96">
        <v>76.513216711170728</v>
      </c>
      <c r="I41" s="96">
        <v>299.19826624722043</v>
      </c>
      <c r="J41" s="96">
        <v>110.46144563768638</v>
      </c>
      <c r="K41" s="96">
        <v>0.59977775006647516</v>
      </c>
      <c r="L41" s="96">
        <v>24.163439740730425</v>
      </c>
      <c r="M41" s="96">
        <v>27.673011345665447</v>
      </c>
      <c r="N41" s="96">
        <v>279.32781843810807</v>
      </c>
      <c r="O41" s="96">
        <v>37.312975984624714</v>
      </c>
      <c r="P41" s="96">
        <v>50.064946997414687</v>
      </c>
      <c r="Q41" s="96">
        <v>29.685170835226504</v>
      </c>
      <c r="R41" s="96">
        <v>102.1936695675243</v>
      </c>
      <c r="S41" s="96">
        <v>115.20509512765203</v>
      </c>
      <c r="T41" s="96">
        <v>132.89720548618826</v>
      </c>
      <c r="U41" s="96">
        <v>99.879052742183703</v>
      </c>
      <c r="V41" s="96">
        <v>80.703995576633105</v>
      </c>
      <c r="W41" s="96">
        <v>53.057557617195997</v>
      </c>
    </row>
    <row r="42" spans="1:23">
      <c r="A42" s="95" t="s">
        <v>385</v>
      </c>
      <c r="B42" s="95">
        <v>311.62579511647118</v>
      </c>
      <c r="C42" s="95" t="s">
        <v>385</v>
      </c>
      <c r="D42" s="95">
        <v>52.364163047969257</v>
      </c>
      <c r="E42" s="96" t="s">
        <v>385</v>
      </c>
      <c r="F42" s="96">
        <v>220.85179378423757</v>
      </c>
      <c r="G42" s="96" t="s">
        <v>385</v>
      </c>
      <c r="H42" s="96">
        <v>90.542636567016487</v>
      </c>
      <c r="I42" s="96">
        <v>299.33446181525909</v>
      </c>
      <c r="J42" s="96">
        <v>97.112902366427903</v>
      </c>
      <c r="K42" s="96">
        <v>0.70886465170136925</v>
      </c>
      <c r="L42" s="96">
        <v>20.302600404093795</v>
      </c>
      <c r="M42" s="96">
        <v>26.619582219806524</v>
      </c>
      <c r="N42" s="96">
        <v>277.37490445208357</v>
      </c>
      <c r="O42" s="96">
        <v>45.715036630002103</v>
      </c>
      <c r="P42" s="96">
        <v>49.031733639183209</v>
      </c>
      <c r="Q42" s="96">
        <v>31.156539177078791</v>
      </c>
      <c r="R42" s="96">
        <v>100.10371141858604</v>
      </c>
      <c r="S42" s="96">
        <v>115.14924246024535</v>
      </c>
      <c r="T42" s="96">
        <v>139.80303317934644</v>
      </c>
      <c r="U42" s="96">
        <v>102.98163794983991</v>
      </c>
      <c r="V42" s="96">
        <v>82.463365280165746</v>
      </c>
      <c r="W42" s="96">
        <v>49.180683347275291</v>
      </c>
    </row>
    <row r="43" spans="1:23">
      <c r="A43" s="95" t="s">
        <v>385</v>
      </c>
      <c r="B43" s="95">
        <v>216.44436886133553</v>
      </c>
      <c r="C43" s="95" t="s">
        <v>385</v>
      </c>
      <c r="D43" s="95">
        <v>54.648269772808369</v>
      </c>
      <c r="E43" s="96" t="s">
        <v>386</v>
      </c>
      <c r="F43" s="96">
        <v>231.35436706500155</v>
      </c>
      <c r="G43" s="96" t="s">
        <v>385</v>
      </c>
      <c r="H43" s="96">
        <v>83.000539707996353</v>
      </c>
      <c r="I43" s="96">
        <v>299.57551358026654</v>
      </c>
      <c r="J43" s="96">
        <v>98.745508029767493</v>
      </c>
      <c r="K43" s="96">
        <v>0.50876506849151126</v>
      </c>
      <c r="L43" s="96">
        <v>24.668733933471643</v>
      </c>
      <c r="M43" s="96">
        <v>27.833867172259744</v>
      </c>
      <c r="N43" s="96">
        <v>279.92986093287334</v>
      </c>
      <c r="O43" s="96">
        <v>30.115465690666987</v>
      </c>
      <c r="P43" s="96">
        <v>51.12604173624802</v>
      </c>
      <c r="Q43" s="96">
        <v>31.757931542011072</v>
      </c>
      <c r="R43" s="96">
        <v>97.507126073171378</v>
      </c>
      <c r="S43" s="96">
        <v>121.34213882669329</v>
      </c>
      <c r="T43" s="96">
        <v>124.78051702955321</v>
      </c>
      <c r="U43" s="96">
        <v>103.08974715489049</v>
      </c>
      <c r="V43" s="96">
        <v>82.886382636682711</v>
      </c>
      <c r="W43" s="96">
        <v>50.340158804080176</v>
      </c>
    </row>
    <row r="44" spans="1:23">
      <c r="A44" s="95" t="s">
        <v>385</v>
      </c>
      <c r="B44" s="95">
        <v>292.48995488415898</v>
      </c>
      <c r="C44" s="95" t="s">
        <v>385</v>
      </c>
      <c r="D44" s="95">
        <v>49.08972317824368</v>
      </c>
      <c r="E44" s="96" t="s">
        <v>386</v>
      </c>
      <c r="F44" s="96">
        <v>226.24388658913236</v>
      </c>
      <c r="G44" s="96" t="s">
        <v>385</v>
      </c>
      <c r="H44" s="96">
        <v>80.619109562507134</v>
      </c>
      <c r="I44" s="96">
        <v>299.8252635797715</v>
      </c>
      <c r="J44" s="96">
        <v>92.349873333519156</v>
      </c>
      <c r="K44" s="96">
        <v>0.48346907550808949</v>
      </c>
      <c r="L44" s="96">
        <v>14.904696844991493</v>
      </c>
      <c r="M44" s="96">
        <v>27.28425558448631</v>
      </c>
      <c r="N44" s="96">
        <v>277.89483762453011</v>
      </c>
      <c r="O44" s="96">
        <v>39.497917836447726</v>
      </c>
      <c r="P44" s="96">
        <v>49.837084033539462</v>
      </c>
      <c r="Q44" s="96">
        <v>30.109259380876406</v>
      </c>
      <c r="R44" s="96">
        <v>101.35494611315255</v>
      </c>
      <c r="S44" s="96">
        <v>121.90465655561854</v>
      </c>
      <c r="T44" s="96">
        <v>134.56485283939173</v>
      </c>
      <c r="U44" s="96">
        <v>90.875136082290993</v>
      </c>
      <c r="V44" s="96">
        <v>77.900410324242159</v>
      </c>
      <c r="W44" s="96">
        <v>47.509552358460667</v>
      </c>
    </row>
    <row r="45" spans="1:23">
      <c r="A45" s="95" t="s">
        <v>385</v>
      </c>
      <c r="B45" s="95">
        <v>321.66224474548869</v>
      </c>
      <c r="C45" s="95" t="s">
        <v>385</v>
      </c>
      <c r="D45" s="95">
        <v>49.748592706447091</v>
      </c>
      <c r="E45" s="96" t="s">
        <v>386</v>
      </c>
      <c r="F45" s="96">
        <v>227.68067625810542</v>
      </c>
      <c r="G45" s="96" t="s">
        <v>385</v>
      </c>
      <c r="H45" s="96">
        <v>78.282171564624377</v>
      </c>
      <c r="I45" s="96">
        <v>299.67433852139061</v>
      </c>
      <c r="J45" s="96">
        <v>95.928585053506978</v>
      </c>
      <c r="K45" s="96">
        <v>0.48755976579766985</v>
      </c>
      <c r="L45" s="96">
        <v>27.68620993486747</v>
      </c>
      <c r="M45" s="96">
        <v>27.794348566496918</v>
      </c>
      <c r="N45" s="96">
        <v>280.74866217049316</v>
      </c>
      <c r="O45" s="96">
        <v>44.93220699082957</v>
      </c>
      <c r="P45" s="96">
        <v>49.349942534670163</v>
      </c>
      <c r="Q45" s="96">
        <v>29.074013390057367</v>
      </c>
      <c r="R45" s="96">
        <v>103.85121985411597</v>
      </c>
      <c r="S45" s="96">
        <v>118.28488523664085</v>
      </c>
      <c r="T45" s="96">
        <v>123.19144517522477</v>
      </c>
      <c r="U45" s="96">
        <v>100.93403076165002</v>
      </c>
      <c r="V45" s="96">
        <v>73.533432997951465</v>
      </c>
      <c r="W45" s="96">
        <v>49.113055527578616</v>
      </c>
    </row>
    <row r="46" spans="1:23">
      <c r="A46" s="95" t="s">
        <v>385</v>
      </c>
      <c r="B46" s="95">
        <v>263.60687228166211</v>
      </c>
      <c r="C46" s="95" t="s">
        <v>385</v>
      </c>
      <c r="D46" s="95">
        <v>54.220376589135562</v>
      </c>
      <c r="E46" s="96" t="s">
        <v>385</v>
      </c>
      <c r="F46" s="96">
        <v>211.2763989395319</v>
      </c>
      <c r="G46" s="96" t="s">
        <v>385</v>
      </c>
      <c r="H46" s="96">
        <v>81.27372997542497</v>
      </c>
      <c r="I46" s="96">
        <v>300.11033687275733</v>
      </c>
      <c r="J46" s="96">
        <v>100.70218712159658</v>
      </c>
      <c r="K46" s="96">
        <v>0.51437589368382552</v>
      </c>
      <c r="L46" s="96">
        <v>18.722625776455217</v>
      </c>
      <c r="M46" s="96">
        <v>25.208272877299116</v>
      </c>
      <c r="N46" s="96">
        <v>276.59333706752051</v>
      </c>
      <c r="O46" s="96">
        <v>38.757871494832713</v>
      </c>
      <c r="P46" s="96">
        <v>47.71142163660835</v>
      </c>
      <c r="Q46" s="96">
        <v>32.120376710229678</v>
      </c>
      <c r="R46" s="96">
        <v>99.692357791016576</v>
      </c>
      <c r="S46" s="96">
        <v>119.65583280836213</v>
      </c>
      <c r="T46" s="96">
        <v>132.92490444640819</v>
      </c>
      <c r="U46" s="96">
        <v>98.249345007512943</v>
      </c>
      <c r="V46" s="96">
        <v>80.36939245522592</v>
      </c>
      <c r="W46" s="96">
        <v>49.390733586518152</v>
      </c>
    </row>
    <row r="47" spans="1:23">
      <c r="A47" s="95" t="s">
        <v>385</v>
      </c>
      <c r="B47" s="95">
        <v>257.25456306080986</v>
      </c>
      <c r="C47" s="95" t="s">
        <v>385</v>
      </c>
      <c r="D47" s="95">
        <v>45.961373632112647</v>
      </c>
      <c r="E47" s="96" t="s">
        <v>385</v>
      </c>
      <c r="F47" s="96">
        <v>213.96289482033916</v>
      </c>
      <c r="G47" s="96" t="s">
        <v>385</v>
      </c>
      <c r="H47" s="96">
        <v>88.217928963655112</v>
      </c>
      <c r="I47" s="96">
        <v>300.92109404231724</v>
      </c>
      <c r="J47" s="96">
        <v>93.842218951655425</v>
      </c>
      <c r="K47" s="96">
        <v>0.53091891517552214</v>
      </c>
      <c r="L47" s="96">
        <v>24.675934612296658</v>
      </c>
      <c r="M47" s="96">
        <v>25.433770913769553</v>
      </c>
      <c r="N47" s="96">
        <v>278.47237902569248</v>
      </c>
      <c r="O47" s="96">
        <v>35.316460422436336</v>
      </c>
      <c r="P47" s="96">
        <v>48.890079836767256</v>
      </c>
      <c r="Q47" s="96">
        <v>31.895912112119834</v>
      </c>
      <c r="R47" s="96">
        <v>100.02423278085406</v>
      </c>
      <c r="S47" s="96">
        <v>124.43787031299608</v>
      </c>
      <c r="T47" s="96">
        <v>124.79549790910224</v>
      </c>
      <c r="U47" s="96">
        <v>95.204914846672978</v>
      </c>
      <c r="V47" s="96">
        <v>79.494790650430588</v>
      </c>
      <c r="W47" s="96">
        <v>51.473930212431171</v>
      </c>
    </row>
    <row r="48" spans="1:23">
      <c r="A48" s="95" t="s">
        <v>385</v>
      </c>
      <c r="B48" s="95">
        <v>320.27813339861871</v>
      </c>
      <c r="C48" s="95" t="s">
        <v>385</v>
      </c>
      <c r="D48" s="95">
        <v>50.294923997347155</v>
      </c>
      <c r="E48" s="96" t="s">
        <v>385</v>
      </c>
      <c r="F48" s="96">
        <v>216.3914334326347</v>
      </c>
      <c r="G48" s="96" t="s">
        <v>385</v>
      </c>
      <c r="H48" s="96">
        <v>109.78064354371053</v>
      </c>
      <c r="I48" s="96">
        <v>300.24881644781635</v>
      </c>
      <c r="J48" s="96">
        <v>100.25093926461493</v>
      </c>
      <c r="K48" s="96">
        <v>0.37824600699416788</v>
      </c>
      <c r="L48" s="96">
        <v>23.58858579791919</v>
      </c>
      <c r="M48" s="96">
        <v>26.249676864870523</v>
      </c>
      <c r="N48" s="96">
        <v>283.76691037669588</v>
      </c>
      <c r="O48" s="96">
        <v>46.544144257906986</v>
      </c>
      <c r="P48" s="96">
        <v>50.985833721204358</v>
      </c>
      <c r="Q48" s="96">
        <v>29.795391032481792</v>
      </c>
      <c r="R48" s="96">
        <v>101.13058465945433</v>
      </c>
      <c r="S48" s="96">
        <v>119.46589670829059</v>
      </c>
      <c r="T48" s="96">
        <v>132.34652560779605</v>
      </c>
      <c r="U48" s="96">
        <v>99.088687809761524</v>
      </c>
      <c r="V48" s="96">
        <v>78.316552219878943</v>
      </c>
      <c r="W48" s="96">
        <v>48.041973896479185</v>
      </c>
    </row>
    <row r="49" spans="1:23">
      <c r="A49" s="95" t="s">
        <v>385</v>
      </c>
      <c r="B49" s="95">
        <v>337.28445182541554</v>
      </c>
      <c r="C49" s="95" t="s">
        <v>385</v>
      </c>
      <c r="D49" s="95">
        <v>46.721594892541916</v>
      </c>
      <c r="E49" s="96" t="s">
        <v>385</v>
      </c>
      <c r="F49" s="96">
        <v>224.28148165398719</v>
      </c>
      <c r="G49" s="96" t="s">
        <v>385</v>
      </c>
      <c r="H49" s="96">
        <v>102.8743749895943</v>
      </c>
      <c r="I49" s="96">
        <v>300.02770893181338</v>
      </c>
      <c r="J49" s="96">
        <v>98.397025915126463</v>
      </c>
      <c r="K49" s="96">
        <v>0.39841017797328504</v>
      </c>
      <c r="L49" s="96">
        <v>23.722883070725651</v>
      </c>
      <c r="M49" s="96">
        <v>27.416769049679552</v>
      </c>
      <c r="N49" s="96">
        <v>288.25192708169419</v>
      </c>
      <c r="O49" s="96">
        <v>49.275219529324161</v>
      </c>
      <c r="P49" s="96">
        <v>53.557173262677601</v>
      </c>
      <c r="Q49" s="96">
        <v>29.450381814330456</v>
      </c>
      <c r="R49" s="96">
        <v>98.338020743485785</v>
      </c>
      <c r="S49" s="96">
        <v>123.14027131178568</v>
      </c>
      <c r="T49" s="96">
        <v>127.61413738816599</v>
      </c>
      <c r="U49" s="96">
        <v>93.043226022568675</v>
      </c>
      <c r="V49" s="96">
        <v>79.576746232579211</v>
      </c>
      <c r="W49" s="96">
        <v>50.800888605561411</v>
      </c>
    </row>
    <row r="50" spans="1:23">
      <c r="A50" s="95" t="s">
        <v>385</v>
      </c>
      <c r="B50" s="95">
        <v>245.13381138143001</v>
      </c>
      <c r="C50" s="95" t="s">
        <v>385</v>
      </c>
      <c r="D50" s="95">
        <v>44.412266968840029</v>
      </c>
      <c r="E50" s="96" t="s">
        <v>385</v>
      </c>
      <c r="F50" s="96">
        <v>211.4049485228789</v>
      </c>
      <c r="G50" s="96" t="s">
        <v>385</v>
      </c>
      <c r="H50" s="96">
        <v>65.296020255801395</v>
      </c>
      <c r="I50" s="96">
        <v>299.97257385413184</v>
      </c>
      <c r="J50" s="96">
        <v>107.64887591340052</v>
      </c>
      <c r="K50" s="96">
        <v>0.47828199595996845</v>
      </c>
      <c r="L50" s="96">
        <v>18.259994945076471</v>
      </c>
      <c r="M50" s="96">
        <v>24.970427785658124</v>
      </c>
      <c r="N50" s="96">
        <v>277.62819320698128</v>
      </c>
      <c r="O50" s="96">
        <v>38.761639066231069</v>
      </c>
      <c r="P50" s="96">
        <v>47.520369804151159</v>
      </c>
      <c r="Q50" s="96">
        <v>29.627978286396914</v>
      </c>
      <c r="R50" s="96">
        <v>100.27559793480313</v>
      </c>
      <c r="S50" s="96">
        <v>119.30440813859455</v>
      </c>
      <c r="T50" s="96">
        <v>127.25432626928739</v>
      </c>
      <c r="U50" s="96">
        <v>105.28949022722468</v>
      </c>
      <c r="V50" s="96">
        <v>78.371855850582847</v>
      </c>
      <c r="W50" s="96">
        <v>53.737322269457081</v>
      </c>
    </row>
    <row r="51" spans="1:23">
      <c r="A51" s="95" t="s">
        <v>385</v>
      </c>
      <c r="B51" s="95">
        <v>223.41662315728854</v>
      </c>
      <c r="C51" s="95" t="s">
        <v>385</v>
      </c>
      <c r="D51" s="95">
        <v>61.242408187695538</v>
      </c>
      <c r="E51" s="96" t="s">
        <v>385</v>
      </c>
      <c r="F51" s="96">
        <v>216.56477831499819</v>
      </c>
      <c r="G51" s="96" t="s">
        <v>385</v>
      </c>
      <c r="H51" s="96">
        <v>88.979397729266339</v>
      </c>
      <c r="I51" s="96">
        <v>299.69336309762377</v>
      </c>
      <c r="J51" s="96">
        <v>104.38438750581064</v>
      </c>
      <c r="K51" s="96">
        <v>0.54392995045678216</v>
      </c>
      <c r="L51" s="96">
        <v>31.100122455935523</v>
      </c>
      <c r="M51" s="96">
        <v>25.04019417081081</v>
      </c>
      <c r="N51" s="96">
        <v>277.0241244376594</v>
      </c>
      <c r="O51" s="96">
        <v>36.006100898947409</v>
      </c>
      <c r="P51" s="96">
        <v>53.931868874520525</v>
      </c>
      <c r="Q51" s="96">
        <v>29.085473488816703</v>
      </c>
      <c r="R51" s="96">
        <v>105.42052139298266</v>
      </c>
      <c r="S51" s="96">
        <v>119.95038060565111</v>
      </c>
      <c r="T51" s="96">
        <v>127.26607669069034</v>
      </c>
      <c r="U51" s="96">
        <v>98.288922566802626</v>
      </c>
      <c r="V51" s="96">
        <v>82.51776172360745</v>
      </c>
      <c r="W51" s="96">
        <v>51.140568772268807</v>
      </c>
    </row>
    <row r="52" spans="1:23">
      <c r="A52" s="95" t="s">
        <v>385</v>
      </c>
      <c r="B52" s="95">
        <v>277.97876476169108</v>
      </c>
      <c r="C52" s="95" t="s">
        <v>385</v>
      </c>
      <c r="D52" s="95">
        <v>58.305113991149952</v>
      </c>
      <c r="E52" s="96" t="s">
        <v>386</v>
      </c>
      <c r="F52" s="96">
        <v>234.29729270175292</v>
      </c>
      <c r="G52" s="96" t="s">
        <v>385</v>
      </c>
      <c r="H52" s="96">
        <v>92.045612693460839</v>
      </c>
      <c r="I52" s="96">
        <v>300.32474875977249</v>
      </c>
      <c r="J52" s="96">
        <v>100.3552282070259</v>
      </c>
      <c r="K52" s="96">
        <v>0.382413716170875</v>
      </c>
      <c r="L52" s="96">
        <v>25.365572332031586</v>
      </c>
      <c r="M52" s="96">
        <v>27.408716111163386</v>
      </c>
      <c r="N52" s="96">
        <v>271.54687268875887</v>
      </c>
      <c r="O52" s="96">
        <v>37.826704275038608</v>
      </c>
      <c r="P52" s="96">
        <v>53.420160575776372</v>
      </c>
      <c r="Q52" s="96">
        <v>30.008136621447129</v>
      </c>
      <c r="R52" s="96">
        <v>98.839715356437409</v>
      </c>
      <c r="S52" s="96">
        <v>126.12733203105071</v>
      </c>
      <c r="T52" s="96">
        <v>130.85650669737566</v>
      </c>
      <c r="U52" s="96">
        <v>98.125047868217948</v>
      </c>
      <c r="V52" s="96">
        <v>81.173587768833869</v>
      </c>
      <c r="W52" s="96">
        <v>53.44251830588702</v>
      </c>
    </row>
    <row r="53" spans="1:23">
      <c r="A53" s="95" t="s">
        <v>385</v>
      </c>
      <c r="B53" s="95">
        <v>231.00445047814557</v>
      </c>
      <c r="C53" s="95" t="s">
        <v>385</v>
      </c>
      <c r="D53" s="95">
        <v>55.18438647478618</v>
      </c>
      <c r="E53" s="96" t="s">
        <v>385</v>
      </c>
      <c r="F53" s="96">
        <v>216.80423642155475</v>
      </c>
      <c r="G53" s="96" t="s">
        <v>385</v>
      </c>
      <c r="H53" s="96">
        <v>95.893655803471489</v>
      </c>
      <c r="I53" s="96">
        <v>300.04170325764682</v>
      </c>
      <c r="J53" s="96">
        <v>88.24552245987698</v>
      </c>
      <c r="K53" s="96">
        <v>0.47605694007785959</v>
      </c>
      <c r="L53" s="96">
        <v>23.17948374106405</v>
      </c>
      <c r="M53" s="96">
        <v>26.376427498881156</v>
      </c>
      <c r="N53" s="96">
        <v>281.64962076392396</v>
      </c>
      <c r="O53" s="96">
        <v>33.436756801525725</v>
      </c>
      <c r="P53" s="96">
        <v>48.137592724901857</v>
      </c>
      <c r="Q53" s="96">
        <v>30.795130251081282</v>
      </c>
      <c r="R53" s="96">
        <v>103.2899915292363</v>
      </c>
      <c r="S53" s="96">
        <v>119.83483828257818</v>
      </c>
      <c r="T53" s="96">
        <v>131.01293822264222</v>
      </c>
      <c r="U53" s="96">
        <v>103.41154502155527</v>
      </c>
      <c r="V53" s="96">
        <v>82.821737846317916</v>
      </c>
      <c r="W53" s="96">
        <v>50.119946731893187</v>
      </c>
    </row>
    <row r="54" spans="1:23">
      <c r="A54" s="95" t="s">
        <v>385</v>
      </c>
      <c r="B54" s="95">
        <v>326.43806109791552</v>
      </c>
      <c r="C54" s="95" t="s">
        <v>385</v>
      </c>
      <c r="D54" s="95">
        <v>50.625375104383792</v>
      </c>
      <c r="E54" s="96" t="s">
        <v>386</v>
      </c>
      <c r="F54" s="96">
        <v>229.4494488970615</v>
      </c>
      <c r="G54" s="96" t="s">
        <v>385</v>
      </c>
      <c r="H54" s="96">
        <v>84.645432855624335</v>
      </c>
      <c r="I54" s="96">
        <v>301.35451311764547</v>
      </c>
      <c r="J54" s="96">
        <v>105.68083558663002</v>
      </c>
      <c r="K54" s="96">
        <v>0.43327078093171456</v>
      </c>
      <c r="L54" s="96">
        <v>21.393864759298651</v>
      </c>
      <c r="M54" s="96">
        <v>27.445397446621151</v>
      </c>
      <c r="N54" s="96">
        <v>276.71267712487008</v>
      </c>
      <c r="O54" s="96">
        <v>43.880293285611863</v>
      </c>
      <c r="P54" s="96">
        <v>51.506707259042827</v>
      </c>
      <c r="Q54" s="96">
        <v>30.30109239467134</v>
      </c>
      <c r="R54" s="96">
        <v>98.346938951658728</v>
      </c>
      <c r="S54" s="96">
        <v>121.27853584886243</v>
      </c>
      <c r="T54" s="96">
        <v>130.44114528651164</v>
      </c>
      <c r="U54" s="96">
        <v>103.54578180810745</v>
      </c>
      <c r="V54" s="96">
        <v>78.26911752814776</v>
      </c>
      <c r="W54" s="96">
        <v>47.772993128773777</v>
      </c>
    </row>
    <row r="55" spans="1:23">
      <c r="A55" s="95" t="s">
        <v>385</v>
      </c>
      <c r="B55" s="95">
        <v>339.58242802282149</v>
      </c>
      <c r="C55" s="95" t="s">
        <v>385</v>
      </c>
      <c r="D55" s="95">
        <v>53.986157756622852</v>
      </c>
      <c r="E55" s="96" t="s">
        <v>385</v>
      </c>
      <c r="F55" s="96">
        <v>212.97951724783789</v>
      </c>
      <c r="G55" s="96" t="s">
        <v>385</v>
      </c>
      <c r="H55" s="96">
        <v>96.867351844267446</v>
      </c>
      <c r="I55" s="96">
        <v>299.61663078075861</v>
      </c>
      <c r="J55" s="96">
        <v>102.21685005347528</v>
      </c>
      <c r="K55" s="96">
        <v>0.34330588135113616</v>
      </c>
      <c r="L55" s="96">
        <v>26.142785468116873</v>
      </c>
      <c r="M55" s="96">
        <v>26.197923332619659</v>
      </c>
      <c r="N55" s="96">
        <v>285.38162767791101</v>
      </c>
      <c r="O55" s="96">
        <v>52.856898251892844</v>
      </c>
      <c r="P55" s="96">
        <v>48.659061424388462</v>
      </c>
      <c r="Q55" s="96">
        <v>30.894370258734597</v>
      </c>
      <c r="R55" s="96">
        <v>96.886193140217628</v>
      </c>
      <c r="S55" s="96">
        <v>116.90451675717658</v>
      </c>
      <c r="T55" s="96">
        <v>131.52327503998487</v>
      </c>
      <c r="U55" s="96">
        <v>103.08022336234875</v>
      </c>
      <c r="V55" s="96">
        <v>82.654463979879708</v>
      </c>
      <c r="W55" s="96">
        <v>50.878311537643953</v>
      </c>
    </row>
    <row r="56" spans="1:23">
      <c r="A56" s="95" t="s">
        <v>385</v>
      </c>
      <c r="B56" s="95">
        <v>274.30616449365743</v>
      </c>
      <c r="C56" s="95" t="s">
        <v>385</v>
      </c>
      <c r="D56" s="95">
        <v>49.079114106033231</v>
      </c>
      <c r="E56" s="96" t="s">
        <v>386</v>
      </c>
      <c r="F56" s="96">
        <v>231.70775497754443</v>
      </c>
      <c r="G56" s="96" t="s">
        <v>385</v>
      </c>
      <c r="H56" s="96">
        <v>109.12993107650377</v>
      </c>
      <c r="I56" s="96">
        <v>299.72882130738407</v>
      </c>
      <c r="J56" s="96">
        <v>101.76382682932794</v>
      </c>
      <c r="K56" s="96">
        <v>0.52960343727035419</v>
      </c>
      <c r="L56" s="96">
        <v>26.767163884957498</v>
      </c>
      <c r="M56" s="96">
        <v>28.351497067929838</v>
      </c>
      <c r="N56" s="96">
        <v>277.98731124296705</v>
      </c>
      <c r="O56" s="96">
        <v>37.802700355139329</v>
      </c>
      <c r="P56" s="96">
        <v>48.325997256130954</v>
      </c>
      <c r="Q56" s="96">
        <v>29.223699655929099</v>
      </c>
      <c r="R56" s="96">
        <v>102.77880137519752</v>
      </c>
      <c r="S56" s="96">
        <v>121.28521255492159</v>
      </c>
      <c r="T56" s="96">
        <v>134.26546687520144</v>
      </c>
      <c r="U56" s="96">
        <v>94.984331537591558</v>
      </c>
      <c r="V56" s="96">
        <v>83.078401268598796</v>
      </c>
      <c r="W56" s="96">
        <v>51.506848985987496</v>
      </c>
    </row>
    <row r="57" spans="1:23">
      <c r="A57" s="95" t="s">
        <v>385</v>
      </c>
      <c r="B57" s="95">
        <v>317.97300159423992</v>
      </c>
      <c r="C57" s="95" t="s">
        <v>385</v>
      </c>
      <c r="D57" s="95">
        <v>51.106280954170089</v>
      </c>
      <c r="E57" s="96" t="s">
        <v>385</v>
      </c>
      <c r="F57" s="96">
        <v>213.53649012440815</v>
      </c>
      <c r="G57" s="96" t="s">
        <v>385</v>
      </c>
      <c r="H57" s="96">
        <v>76.434394040743385</v>
      </c>
      <c r="I57" s="96">
        <v>299.08337733231468</v>
      </c>
      <c r="J57" s="96">
        <v>98.231387166836342</v>
      </c>
      <c r="K57" s="96">
        <v>0.42703564537995964</v>
      </c>
      <c r="L57" s="96">
        <v>21.261308291729925</v>
      </c>
      <c r="M57" s="96">
        <v>25.436884035490639</v>
      </c>
      <c r="N57" s="96">
        <v>276.06131395021424</v>
      </c>
      <c r="O57" s="96">
        <v>45.274792523655648</v>
      </c>
      <c r="P57" s="96">
        <v>47.730959110589659</v>
      </c>
      <c r="Q57" s="96">
        <v>29.343809632271022</v>
      </c>
      <c r="R57" s="96">
        <v>99.737162971066255</v>
      </c>
      <c r="S57" s="96">
        <v>123.6673644293831</v>
      </c>
      <c r="T57" s="96">
        <v>129.4310373685496</v>
      </c>
      <c r="U57" s="96">
        <v>103.31322181300695</v>
      </c>
      <c r="V57" s="96">
        <v>82.652899311220764</v>
      </c>
      <c r="W57" s="96">
        <v>48.716949499444496</v>
      </c>
    </row>
    <row r="58" spans="1:23">
      <c r="A58" s="95" t="s">
        <v>385</v>
      </c>
      <c r="B58" s="95">
        <v>233.74458077934366</v>
      </c>
      <c r="C58" s="95" t="s">
        <v>385</v>
      </c>
      <c r="D58" s="95">
        <v>42.905097275756049</v>
      </c>
      <c r="E58" s="96" t="s">
        <v>385</v>
      </c>
      <c r="F58" s="96">
        <v>211.16642240006226</v>
      </c>
      <c r="G58" s="96" t="s">
        <v>385</v>
      </c>
      <c r="H58" s="96">
        <v>61.396297740105481</v>
      </c>
      <c r="I58" s="96">
        <v>299.35302474534751</v>
      </c>
      <c r="J58" s="96">
        <v>97.982624928424372</v>
      </c>
      <c r="K58" s="96">
        <v>0.52306082616778926</v>
      </c>
      <c r="L58" s="96">
        <v>20.605478625449361</v>
      </c>
      <c r="M58" s="96">
        <v>25.815634690558241</v>
      </c>
      <c r="N58" s="96">
        <v>281.78656475826756</v>
      </c>
      <c r="O58" s="96">
        <v>37.839688469369321</v>
      </c>
      <c r="P58" s="96">
        <v>45.505207226176005</v>
      </c>
      <c r="Q58" s="96">
        <v>28.842903229075695</v>
      </c>
      <c r="R58" s="96">
        <v>98.147705460309112</v>
      </c>
      <c r="S58" s="96">
        <v>118.64920724823916</v>
      </c>
      <c r="T58" s="96">
        <v>135.4152092183385</v>
      </c>
      <c r="U58" s="96">
        <v>102.26993041384522</v>
      </c>
      <c r="V58" s="96">
        <v>78.307332459386302</v>
      </c>
      <c r="W58" s="96">
        <v>51.865744155014212</v>
      </c>
    </row>
    <row r="59" spans="1:23">
      <c r="A59" s="95" t="s">
        <v>385</v>
      </c>
      <c r="B59" s="95">
        <v>321.25511259136596</v>
      </c>
      <c r="C59" s="95" t="s">
        <v>385</v>
      </c>
      <c r="D59" s="95">
        <v>49.328516225409842</v>
      </c>
      <c r="E59" s="96" t="s">
        <v>386</v>
      </c>
      <c r="F59" s="96">
        <v>226.47773017202692</v>
      </c>
      <c r="G59" s="96" t="s">
        <v>385</v>
      </c>
      <c r="H59" s="96">
        <v>85.682048735749618</v>
      </c>
      <c r="I59" s="96">
        <v>300.76998064997861</v>
      </c>
      <c r="J59" s="96">
        <v>95.495695830890469</v>
      </c>
      <c r="K59" s="96">
        <v>0.46022710432624425</v>
      </c>
      <c r="L59" s="96">
        <v>28.850768046630613</v>
      </c>
      <c r="M59" s="96">
        <v>27.100243388217095</v>
      </c>
      <c r="N59" s="96">
        <v>277.23828436269929</v>
      </c>
      <c r="O59" s="96">
        <v>45.794817227807854</v>
      </c>
      <c r="P59" s="96">
        <v>50.290317843024333</v>
      </c>
      <c r="Q59" s="96">
        <v>31.537165750906585</v>
      </c>
      <c r="R59" s="96">
        <v>99.969472828501836</v>
      </c>
      <c r="S59" s="96">
        <v>119.72114110134274</v>
      </c>
      <c r="T59" s="96">
        <v>127.505161833465</v>
      </c>
      <c r="U59" s="96">
        <v>100.05044559549283</v>
      </c>
      <c r="V59" s="96">
        <v>78.417098093246906</v>
      </c>
      <c r="W59" s="96">
        <v>50.32779102576022</v>
      </c>
    </row>
    <row r="60" spans="1:23">
      <c r="A60" s="95" t="s">
        <v>385</v>
      </c>
      <c r="B60" s="95">
        <v>220.037841469803</v>
      </c>
      <c r="C60" s="95" t="s">
        <v>385</v>
      </c>
      <c r="D60" s="95">
        <v>48.64555019131538</v>
      </c>
      <c r="E60" s="96" t="s">
        <v>385</v>
      </c>
      <c r="F60" s="96">
        <v>208.73271700698373</v>
      </c>
      <c r="G60" s="96" t="s">
        <v>385</v>
      </c>
      <c r="H60" s="96">
        <v>73.884676617529323</v>
      </c>
      <c r="I60" s="96">
        <v>301.79989045427487</v>
      </c>
      <c r="J60" s="96">
        <v>103.87471099805222</v>
      </c>
      <c r="K60" s="96">
        <v>0.52446501460598483</v>
      </c>
      <c r="L60" s="96">
        <v>26.6119452019189</v>
      </c>
      <c r="M60" s="96">
        <v>24.617834280261338</v>
      </c>
      <c r="N60" s="96">
        <v>276.46885583107365</v>
      </c>
      <c r="O60" s="96">
        <v>33.430559289032331</v>
      </c>
      <c r="P60" s="96">
        <v>48.432808120745236</v>
      </c>
      <c r="Q60" s="96">
        <v>28.712164262541833</v>
      </c>
      <c r="R60" s="96">
        <v>95.944290177168483</v>
      </c>
      <c r="S60" s="96">
        <v>120.62235196520233</v>
      </c>
      <c r="T60" s="96">
        <v>129.42458411649073</v>
      </c>
      <c r="U60" s="96">
        <v>102.77185968031108</v>
      </c>
      <c r="V60" s="96">
        <v>78.153119905348262</v>
      </c>
      <c r="W60" s="96">
        <v>48.463583028511941</v>
      </c>
    </row>
    <row r="61" spans="1:23">
      <c r="A61" s="95" t="s">
        <v>387</v>
      </c>
      <c r="B61" s="95">
        <v>194.44368249856669</v>
      </c>
      <c r="C61" s="95" t="s">
        <v>385</v>
      </c>
      <c r="D61" s="95">
        <v>63.025766573121551</v>
      </c>
      <c r="E61" s="96" t="s">
        <v>385</v>
      </c>
      <c r="F61" s="96">
        <v>213.34913032062806</v>
      </c>
      <c r="G61" s="96" t="s">
        <v>385</v>
      </c>
      <c r="H61" s="96">
        <v>83.164628677957069</v>
      </c>
      <c r="I61" s="96">
        <v>301.57051941807089</v>
      </c>
      <c r="J61" s="96">
        <v>102.07979576073838</v>
      </c>
      <c r="K61" s="96">
        <v>0.46722104893053273</v>
      </c>
      <c r="L61" s="96">
        <v>20.763865817329073</v>
      </c>
      <c r="M61" s="96">
        <v>25.39307793603955</v>
      </c>
      <c r="N61" s="96">
        <v>279.85337804566717</v>
      </c>
      <c r="O61" s="96">
        <v>33.274478886573597</v>
      </c>
      <c r="P61" s="96">
        <v>49.356458628491737</v>
      </c>
      <c r="Q61" s="96">
        <v>31.924798834114895</v>
      </c>
      <c r="R61" s="96">
        <v>102.03184713642797</v>
      </c>
      <c r="S61" s="96">
        <v>121.96957917044132</v>
      </c>
      <c r="T61" s="96">
        <v>137.51968978127775</v>
      </c>
      <c r="U61" s="96">
        <v>101.68257403280425</v>
      </c>
      <c r="V61" s="96">
        <v>83.319893618854437</v>
      </c>
      <c r="W61" s="96">
        <v>48.633710789927022</v>
      </c>
    </row>
    <row r="62" spans="1:23">
      <c r="A62" s="95" t="s">
        <v>385</v>
      </c>
      <c r="B62" s="95">
        <v>301.42672367057287</v>
      </c>
      <c r="C62" s="95" t="s">
        <v>385</v>
      </c>
      <c r="D62" s="95">
        <v>54.154457515617395</v>
      </c>
      <c r="E62" s="96" t="s">
        <v>385</v>
      </c>
      <c r="F62" s="96">
        <v>211.83673813334758</v>
      </c>
      <c r="G62" s="96" t="s">
        <v>385</v>
      </c>
      <c r="H62" s="96">
        <v>80.892627274122646</v>
      </c>
      <c r="I62" s="96">
        <v>301.171791791906</v>
      </c>
      <c r="J62" s="96">
        <v>99.97618178180511</v>
      </c>
      <c r="K62" s="96">
        <v>0.53881382710496795</v>
      </c>
      <c r="L62" s="96">
        <v>21.219897194566588</v>
      </c>
      <c r="M62" s="96">
        <v>25.393962684941293</v>
      </c>
      <c r="N62" s="96">
        <v>279.36930574366488</v>
      </c>
      <c r="O62" s="96">
        <v>46.599277689971075</v>
      </c>
      <c r="P62" s="96">
        <v>48.202898890110561</v>
      </c>
      <c r="Q62" s="96">
        <v>30.340338419568717</v>
      </c>
      <c r="R62" s="96">
        <v>96.04168627902412</v>
      </c>
      <c r="S62" s="96">
        <v>121.05041876753494</v>
      </c>
      <c r="T62" s="96">
        <v>132.86621561349361</v>
      </c>
      <c r="U62" s="96">
        <v>98.445444325326449</v>
      </c>
      <c r="V62" s="96">
        <v>81.718345871352909</v>
      </c>
      <c r="W62" s="96">
        <v>50.613081277788496</v>
      </c>
    </row>
    <row r="63" spans="1:23">
      <c r="A63" s="95" t="s">
        <v>385</v>
      </c>
      <c r="B63" s="95">
        <v>256.55525223106196</v>
      </c>
      <c r="C63" s="95" t="s">
        <v>385</v>
      </c>
      <c r="D63" s="95">
        <v>49.717151310264221</v>
      </c>
      <c r="E63" s="96" t="s">
        <v>385</v>
      </c>
      <c r="F63" s="96">
        <v>216.61630569631782</v>
      </c>
      <c r="G63" s="96" t="s">
        <v>385</v>
      </c>
      <c r="H63" s="96">
        <v>94.740413956612315</v>
      </c>
      <c r="I63" s="96">
        <v>299.10696832884486</v>
      </c>
      <c r="J63" s="96">
        <v>112.41386541847235</v>
      </c>
      <c r="K63" s="96">
        <v>0.44853480463631101</v>
      </c>
      <c r="L63" s="96">
        <v>21.13960494558178</v>
      </c>
      <c r="M63" s="96">
        <v>25.9852497011921</v>
      </c>
      <c r="N63" s="96">
        <v>276.81890676230972</v>
      </c>
      <c r="O63" s="96">
        <v>38.225221212589062</v>
      </c>
      <c r="P63" s="96">
        <v>47.446726712935316</v>
      </c>
      <c r="Q63" s="96">
        <v>29.97857755634428</v>
      </c>
      <c r="R63" s="96">
        <v>102.04861184895798</v>
      </c>
      <c r="S63" s="96">
        <v>116.17767482511668</v>
      </c>
      <c r="T63" s="96">
        <v>132.13514236289379</v>
      </c>
      <c r="U63" s="96">
        <v>100.35318194502891</v>
      </c>
      <c r="V63" s="96">
        <v>80.282041763045484</v>
      </c>
      <c r="W63" s="96">
        <v>50.917184255402141</v>
      </c>
    </row>
    <row r="64" spans="1:23">
      <c r="A64" s="95" t="s">
        <v>385</v>
      </c>
      <c r="B64" s="95">
        <v>291.3655095116261</v>
      </c>
      <c r="C64" s="95" t="s">
        <v>385</v>
      </c>
      <c r="D64" s="95">
        <v>53.965132389669449</v>
      </c>
      <c r="E64" s="96" t="s">
        <v>385</v>
      </c>
      <c r="F64" s="96">
        <v>221.12749371696759</v>
      </c>
      <c r="G64" s="96" t="s">
        <v>385</v>
      </c>
      <c r="H64" s="96">
        <v>84.001057925993933</v>
      </c>
      <c r="I64" s="96">
        <v>302.35298202580418</v>
      </c>
      <c r="J64" s="96">
        <v>92.902560698806283</v>
      </c>
      <c r="K64" s="96">
        <v>0.42236390392678547</v>
      </c>
      <c r="L64" s="96">
        <v>22.76560410224759</v>
      </c>
      <c r="M64" s="96">
        <v>26.006525893860399</v>
      </c>
      <c r="N64" s="96">
        <v>279.43372635280321</v>
      </c>
      <c r="O64" s="96">
        <v>41.269292165213969</v>
      </c>
      <c r="P64" s="96">
        <v>53.450630550016648</v>
      </c>
      <c r="Q64" s="96">
        <v>31.470200965796181</v>
      </c>
      <c r="R64" s="96">
        <v>101.83177223913077</v>
      </c>
      <c r="S64" s="96">
        <v>122.83089029427663</v>
      </c>
      <c r="T64" s="96">
        <v>129.1906828765614</v>
      </c>
      <c r="U64" s="96">
        <v>93.910997776779695</v>
      </c>
      <c r="V64" s="96">
        <v>80.524418403550513</v>
      </c>
      <c r="W64" s="96">
        <v>50.683146346202669</v>
      </c>
    </row>
    <row r="65" spans="1:23">
      <c r="A65" s="95" t="s">
        <v>385</v>
      </c>
      <c r="B65" s="95">
        <v>205.8830895406642</v>
      </c>
      <c r="C65" s="95" t="s">
        <v>385</v>
      </c>
      <c r="D65" s="95">
        <v>52.176938777218396</v>
      </c>
      <c r="E65" s="96" t="s">
        <v>385</v>
      </c>
      <c r="F65" s="96">
        <v>222.13652680688867</v>
      </c>
      <c r="G65" s="96" t="s">
        <v>385</v>
      </c>
      <c r="H65" s="96">
        <v>82.906181857095291</v>
      </c>
      <c r="I65" s="96">
        <v>299.65210254697212</v>
      </c>
      <c r="J65" s="96">
        <v>87.84000478539761</v>
      </c>
      <c r="K65" s="96">
        <v>0.56039871253136753</v>
      </c>
      <c r="L65" s="96">
        <v>16.964631994423939</v>
      </c>
      <c r="M65" s="96">
        <v>25.906911042071965</v>
      </c>
      <c r="N65" s="96">
        <v>273.2014923735847</v>
      </c>
      <c r="O65" s="96">
        <v>29.657170461300289</v>
      </c>
      <c r="P65" s="96">
        <v>51.361082715518243</v>
      </c>
      <c r="Q65" s="96">
        <v>29.446847608541397</v>
      </c>
      <c r="R65" s="96">
        <v>96.809526553023673</v>
      </c>
      <c r="S65" s="96">
        <v>118.42807088389706</v>
      </c>
      <c r="T65" s="96">
        <v>132.63637424230274</v>
      </c>
      <c r="U65" s="96">
        <v>91.311915997572299</v>
      </c>
      <c r="V65" s="96">
        <v>78.818108845591212</v>
      </c>
      <c r="W65" s="96">
        <v>49.708221947943358</v>
      </c>
    </row>
    <row r="66" spans="1:23">
      <c r="A66" s="95" t="s">
        <v>385</v>
      </c>
      <c r="B66" s="95">
        <v>321.01588207966734</v>
      </c>
      <c r="C66" s="95" t="s">
        <v>385</v>
      </c>
      <c r="D66" s="95">
        <v>58.259297484153777</v>
      </c>
      <c r="E66" s="96" t="s">
        <v>385</v>
      </c>
      <c r="F66" s="96">
        <v>221.51696122819632</v>
      </c>
      <c r="G66" s="96" t="s">
        <v>385</v>
      </c>
      <c r="H66" s="96">
        <v>87.816304243624501</v>
      </c>
      <c r="I66" s="96">
        <v>299.08042523097015</v>
      </c>
      <c r="J66" s="96">
        <v>87.753608901594191</v>
      </c>
      <c r="K66" s="96">
        <v>0.55963888602883183</v>
      </c>
      <c r="L66" s="96">
        <v>23.535330438703092</v>
      </c>
      <c r="M66" s="96">
        <v>26.714133019097289</v>
      </c>
      <c r="N66" s="96">
        <v>277.32719630459701</v>
      </c>
      <c r="O66" s="96">
        <v>46.395153448953756</v>
      </c>
      <c r="P66" s="96">
        <v>48.261759772463243</v>
      </c>
      <c r="Q66" s="96">
        <v>30.87580986724674</v>
      </c>
      <c r="R66" s="96">
        <v>99.609554713996062</v>
      </c>
      <c r="S66" s="96">
        <v>121.99378180020072</v>
      </c>
      <c r="T66" s="96">
        <v>127.46435319184367</v>
      </c>
      <c r="U66" s="96">
        <v>94.145567893982914</v>
      </c>
      <c r="V66" s="96">
        <v>76.684242586023828</v>
      </c>
      <c r="W66" s="96">
        <v>51.586488426440837</v>
      </c>
    </row>
    <row r="67" spans="1:23">
      <c r="A67" s="95" t="s">
        <v>385</v>
      </c>
      <c r="B67" s="95">
        <v>283.79648711761291</v>
      </c>
      <c r="C67" s="95" t="s">
        <v>385</v>
      </c>
      <c r="D67" s="95">
        <v>62.058488536398592</v>
      </c>
      <c r="E67" s="96" t="s">
        <v>385</v>
      </c>
      <c r="F67" s="96">
        <v>217.05586505271512</v>
      </c>
      <c r="G67" s="96" t="s">
        <v>385</v>
      </c>
      <c r="H67" s="96">
        <v>81.000854243905977</v>
      </c>
      <c r="I67" s="96">
        <v>300.75324202619004</v>
      </c>
      <c r="J67" s="96">
        <v>104.63128707476143</v>
      </c>
      <c r="K67" s="96">
        <v>0.552699491648041</v>
      </c>
      <c r="L67" s="96">
        <v>23.339680354701201</v>
      </c>
      <c r="M67" s="96">
        <v>26.167444612551499</v>
      </c>
      <c r="N67" s="96">
        <v>286.85114961026284</v>
      </c>
      <c r="O67" s="96">
        <v>43.662887256748661</v>
      </c>
      <c r="P67" s="96">
        <v>51.824680010983258</v>
      </c>
      <c r="Q67" s="96">
        <v>29.388763023598557</v>
      </c>
      <c r="R67" s="96">
        <v>104.95038399141758</v>
      </c>
      <c r="S67" s="96">
        <v>123.76079547236425</v>
      </c>
      <c r="T67" s="96">
        <v>129.16185524567015</v>
      </c>
      <c r="U67" s="96">
        <v>99.866692759109654</v>
      </c>
      <c r="V67" s="96">
        <v>78.028415198413143</v>
      </c>
      <c r="W67" s="96">
        <v>51.888140860254261</v>
      </c>
    </row>
    <row r="68" spans="1:23">
      <c r="A68" s="95" t="s">
        <v>385</v>
      </c>
      <c r="B68" s="95">
        <v>254.81245137244815</v>
      </c>
      <c r="C68" s="95" t="s">
        <v>385</v>
      </c>
      <c r="D68" s="95">
        <v>51.429603528914377</v>
      </c>
      <c r="E68" s="96" t="s">
        <v>385</v>
      </c>
      <c r="F68" s="96">
        <v>215.74153080290452</v>
      </c>
      <c r="G68" s="96" t="s">
        <v>385</v>
      </c>
      <c r="H68" s="96">
        <v>103.58357769918889</v>
      </c>
      <c r="I68" s="96">
        <v>299.80388891181371</v>
      </c>
      <c r="J68" s="96">
        <v>95.159257992557258</v>
      </c>
      <c r="K68" s="96">
        <v>0.4239047170117346</v>
      </c>
      <c r="L68" s="96">
        <v>21.819460170565218</v>
      </c>
      <c r="M68" s="96">
        <v>25.247052674451396</v>
      </c>
      <c r="N68" s="96">
        <v>277.32012213670265</v>
      </c>
      <c r="O68" s="96">
        <v>37.790550869662574</v>
      </c>
      <c r="P68" s="96">
        <v>52.128243639916569</v>
      </c>
      <c r="Q68" s="96">
        <v>28.637573055044854</v>
      </c>
      <c r="R68" s="96">
        <v>102.85785500396567</v>
      </c>
      <c r="S68" s="96">
        <v>123.86818200959659</v>
      </c>
      <c r="T68" s="96">
        <v>128.3372181811468</v>
      </c>
      <c r="U68" s="96">
        <v>91.189674799702203</v>
      </c>
      <c r="V68" s="96">
        <v>75.646471314724877</v>
      </c>
      <c r="W68" s="96">
        <v>46.879494059475952</v>
      </c>
    </row>
    <row r="69" spans="1:23">
      <c r="A69" s="95" t="s">
        <v>385</v>
      </c>
      <c r="B69" s="95">
        <v>308.71454985079475</v>
      </c>
      <c r="C69" s="95" t="s">
        <v>385</v>
      </c>
      <c r="D69" s="95">
        <v>62.000671854086086</v>
      </c>
      <c r="E69" s="96" t="s">
        <v>386</v>
      </c>
      <c r="F69" s="96">
        <v>230.56884370125448</v>
      </c>
      <c r="G69" s="96" t="s">
        <v>385</v>
      </c>
      <c r="H69" s="96">
        <v>93.292526958197485</v>
      </c>
      <c r="I69" s="96">
        <v>299.40542460595361</v>
      </c>
      <c r="J69" s="96">
        <v>111.28295758748338</v>
      </c>
      <c r="K69" s="96">
        <v>0.55272188916726261</v>
      </c>
      <c r="L69" s="96">
        <v>18.980207013762062</v>
      </c>
      <c r="M69" s="96">
        <v>27.645890574396951</v>
      </c>
      <c r="N69" s="96">
        <v>275.48293882150227</v>
      </c>
      <c r="O69" s="96">
        <v>41.956712091905707</v>
      </c>
      <c r="P69" s="96">
        <v>49.839203152560643</v>
      </c>
      <c r="Q69" s="96">
        <v>29.845433021818625</v>
      </c>
      <c r="R69" s="96">
        <v>101.70417478507633</v>
      </c>
      <c r="S69" s="96">
        <v>119.00286959703853</v>
      </c>
      <c r="T69" s="96">
        <v>126.15858094720103</v>
      </c>
      <c r="U69" s="96">
        <v>98.483743004890201</v>
      </c>
      <c r="V69" s="96">
        <v>81.252548313771314</v>
      </c>
      <c r="W69" s="96">
        <v>49.763222936919526</v>
      </c>
    </row>
    <row r="70" spans="1:23">
      <c r="A70" s="95" t="s">
        <v>385</v>
      </c>
      <c r="B70" s="95">
        <v>230.06935793210278</v>
      </c>
      <c r="C70" s="95" t="s">
        <v>385</v>
      </c>
      <c r="D70" s="95">
        <v>55.247220069524204</v>
      </c>
      <c r="E70" s="96" t="s">
        <v>385</v>
      </c>
      <c r="F70" s="96">
        <v>211.9147530675493</v>
      </c>
      <c r="G70" s="96" t="s">
        <v>385</v>
      </c>
      <c r="H70" s="96">
        <v>83.104922392324283</v>
      </c>
      <c r="I70" s="96">
        <v>299.50519914736878</v>
      </c>
      <c r="J70" s="96">
        <v>88.809813426736255</v>
      </c>
      <c r="K70" s="96">
        <v>0.62270177275261829</v>
      </c>
      <c r="L70" s="96">
        <v>21.952495385268062</v>
      </c>
      <c r="M70" s="96">
        <v>25.340923601853952</v>
      </c>
      <c r="N70" s="96">
        <v>281.65897318549878</v>
      </c>
      <c r="O70" s="96">
        <v>34.640371350616817</v>
      </c>
      <c r="P70" s="96">
        <v>49.714037204920878</v>
      </c>
      <c r="Q70" s="96">
        <v>31.869623339976151</v>
      </c>
      <c r="R70" s="96">
        <v>102.39794335684233</v>
      </c>
      <c r="S70" s="96">
        <v>117.40891458506502</v>
      </c>
      <c r="T70" s="96">
        <v>134.6782670755575</v>
      </c>
      <c r="U70" s="96">
        <v>99.220039931046927</v>
      </c>
      <c r="V70" s="96">
        <v>78.295627110872999</v>
      </c>
      <c r="W70" s="96">
        <v>49.890958431482098</v>
      </c>
    </row>
    <row r="71" spans="1:23">
      <c r="A71" s="95" t="s">
        <v>385</v>
      </c>
      <c r="B71" s="95">
        <v>305.89828080490247</v>
      </c>
      <c r="C71" s="95" t="s">
        <v>385</v>
      </c>
      <c r="D71" s="95">
        <v>54.012180276537023</v>
      </c>
      <c r="E71" s="96" t="s">
        <v>385</v>
      </c>
      <c r="F71" s="96">
        <v>223.02437773672182</v>
      </c>
      <c r="G71" s="96" t="s">
        <v>385</v>
      </c>
      <c r="H71" s="96">
        <v>113.42307303938911</v>
      </c>
      <c r="I71" s="96">
        <v>300.99300943899738</v>
      </c>
      <c r="J71" s="96">
        <v>101.65172620230533</v>
      </c>
      <c r="K71" s="96">
        <v>0.4417645960087484</v>
      </c>
      <c r="L71" s="96">
        <v>19.514157674996181</v>
      </c>
      <c r="M71" s="96">
        <v>26.855807165011981</v>
      </c>
      <c r="N71" s="96">
        <v>278.54895986078418</v>
      </c>
      <c r="O71" s="96">
        <v>46.631555995865028</v>
      </c>
      <c r="P71" s="96">
        <v>50.021168398935693</v>
      </c>
      <c r="Q71" s="96">
        <v>28.700062859702765</v>
      </c>
      <c r="R71" s="96">
        <v>97.408927365410406</v>
      </c>
      <c r="S71" s="96">
        <v>120.68360922471818</v>
      </c>
      <c r="T71" s="96">
        <v>125.04825116268071</v>
      </c>
      <c r="U71" s="96">
        <v>107.26541872071392</v>
      </c>
      <c r="V71" s="96">
        <v>82.115332753483941</v>
      </c>
      <c r="W71" s="96">
        <v>52.594877861961287</v>
      </c>
    </row>
    <row r="72" spans="1:23">
      <c r="A72" s="95" t="s">
        <v>385</v>
      </c>
      <c r="B72" s="95">
        <v>327.33873532041309</v>
      </c>
      <c r="C72" s="95" t="s">
        <v>385</v>
      </c>
      <c r="D72" s="95">
        <v>59.092845043906387</v>
      </c>
      <c r="E72" s="96" t="s">
        <v>385</v>
      </c>
      <c r="F72" s="96">
        <v>223.14719626394583</v>
      </c>
      <c r="G72" s="96" t="s">
        <v>385</v>
      </c>
      <c r="H72" s="96">
        <v>109.29585798285191</v>
      </c>
      <c r="I72" s="96">
        <v>299.67636275705615</v>
      </c>
      <c r="J72" s="96">
        <v>101.31963166652659</v>
      </c>
      <c r="K72" s="96">
        <v>0.52407687825568139</v>
      </c>
      <c r="L72" s="96">
        <v>27.288193833466288</v>
      </c>
      <c r="M72" s="96">
        <v>26.373026313142255</v>
      </c>
      <c r="N72" s="96">
        <v>278.49462555313607</v>
      </c>
      <c r="O72" s="96">
        <v>46.038146827131506</v>
      </c>
      <c r="P72" s="96">
        <v>54.047397180079145</v>
      </c>
      <c r="Q72" s="96">
        <v>29.773930872105513</v>
      </c>
      <c r="R72" s="96">
        <v>99.801759405863635</v>
      </c>
      <c r="S72" s="96">
        <v>123.00980226261743</v>
      </c>
      <c r="T72" s="96">
        <v>137.17557584722701</v>
      </c>
      <c r="U72" s="96">
        <v>102.37659389351501</v>
      </c>
      <c r="V72" s="96">
        <v>80.222754972757613</v>
      </c>
      <c r="W72" s="96">
        <v>48.557409950741409</v>
      </c>
    </row>
    <row r="73" spans="1:23">
      <c r="A73" s="95" t="s">
        <v>385</v>
      </c>
      <c r="B73" s="95">
        <v>330.10598538694961</v>
      </c>
      <c r="C73" s="95" t="s">
        <v>385</v>
      </c>
      <c r="D73" s="95">
        <v>59.72137423634171</v>
      </c>
      <c r="E73" s="96" t="s">
        <v>385</v>
      </c>
      <c r="F73" s="96">
        <v>219.86553979729479</v>
      </c>
      <c r="G73" s="96" t="s">
        <v>385</v>
      </c>
      <c r="H73" s="96">
        <v>78.732615086677555</v>
      </c>
      <c r="I73" s="96">
        <v>300.05379062993802</v>
      </c>
      <c r="J73" s="96">
        <v>97.649426489372388</v>
      </c>
      <c r="K73" s="96">
        <v>0.61149295578087637</v>
      </c>
      <c r="L73" s="96">
        <v>24.967593012725079</v>
      </c>
      <c r="M73" s="96">
        <v>26.540852786103329</v>
      </c>
      <c r="N73" s="96">
        <v>282.27086682984253</v>
      </c>
      <c r="O73" s="96">
        <v>46.55242781267097</v>
      </c>
      <c r="P73" s="96">
        <v>50.003098226987909</v>
      </c>
      <c r="Q73" s="96">
        <v>29.812331509471313</v>
      </c>
      <c r="R73" s="96">
        <v>100.27132583901243</v>
      </c>
      <c r="S73" s="96">
        <v>120.63951987506509</v>
      </c>
      <c r="T73" s="96">
        <v>127.58476993192896</v>
      </c>
      <c r="U73" s="96">
        <v>104.28646801329774</v>
      </c>
      <c r="V73" s="96">
        <v>82.76754022437963</v>
      </c>
      <c r="W73" s="96">
        <v>50.272230185989706</v>
      </c>
    </row>
    <row r="74" spans="1:23">
      <c r="A74" s="95" t="s">
        <v>385</v>
      </c>
      <c r="B74" s="95">
        <v>270.0774237535602</v>
      </c>
      <c r="C74" s="95" t="s">
        <v>385</v>
      </c>
      <c r="D74" s="95">
        <v>46.864006298532466</v>
      </c>
      <c r="E74" s="96" t="s">
        <v>386</v>
      </c>
      <c r="F74" s="96">
        <v>225.66208639339709</v>
      </c>
      <c r="G74" s="96" t="s">
        <v>385</v>
      </c>
      <c r="H74" s="96">
        <v>76.837785302024955</v>
      </c>
      <c r="I74" s="96">
        <v>299.21019467372599</v>
      </c>
      <c r="J74" s="96">
        <v>106.14536906443102</v>
      </c>
      <c r="K74" s="96">
        <v>0.42243333609980027</v>
      </c>
      <c r="L74" s="96">
        <v>27.860380996443951</v>
      </c>
      <c r="M74" s="96">
        <v>27.426572607544951</v>
      </c>
      <c r="N74" s="96">
        <v>282.32928129953001</v>
      </c>
      <c r="O74" s="96">
        <v>36.353522911314464</v>
      </c>
      <c r="P74" s="96">
        <v>50.786697493760443</v>
      </c>
      <c r="Q74" s="96">
        <v>27.341876288346963</v>
      </c>
      <c r="R74" s="96">
        <v>98.939374700992772</v>
      </c>
      <c r="S74" s="96">
        <v>115.21718408460791</v>
      </c>
      <c r="T74" s="96">
        <v>128.09739924307866</v>
      </c>
      <c r="U74" s="96">
        <v>100.38444731143214</v>
      </c>
      <c r="V74" s="96">
        <v>82.031616330114616</v>
      </c>
      <c r="W74" s="96">
        <v>50.800966728199015</v>
      </c>
    </row>
    <row r="75" spans="1:23">
      <c r="A75" s="95" t="s">
        <v>385</v>
      </c>
      <c r="B75" s="95">
        <v>289.98056045891212</v>
      </c>
      <c r="C75" s="95" t="s">
        <v>385</v>
      </c>
      <c r="D75" s="95">
        <v>63.985802451651722</v>
      </c>
      <c r="E75" s="96" t="s">
        <v>385</v>
      </c>
      <c r="F75" s="96">
        <v>220.77980853283395</v>
      </c>
      <c r="G75" s="96" t="s">
        <v>385</v>
      </c>
      <c r="H75" s="96">
        <v>84.394096568322652</v>
      </c>
      <c r="I75" s="96">
        <v>299.96988238606536</v>
      </c>
      <c r="J75" s="96">
        <v>89.14744745132505</v>
      </c>
      <c r="K75" s="96">
        <v>0.57220902514791816</v>
      </c>
      <c r="L75" s="96">
        <v>18.345453938257847</v>
      </c>
      <c r="M75" s="96">
        <v>26.573886289880679</v>
      </c>
      <c r="N75" s="96">
        <v>281.92339869269074</v>
      </c>
      <c r="O75" s="96">
        <v>40.566936060984737</v>
      </c>
      <c r="P75" s="96">
        <v>51.180020190415178</v>
      </c>
      <c r="Q75" s="96">
        <v>27.723441946762868</v>
      </c>
      <c r="R75" s="96">
        <v>96.733339455620794</v>
      </c>
      <c r="S75" s="96">
        <v>118.797607118493</v>
      </c>
      <c r="T75" s="96">
        <v>126.22305549420547</v>
      </c>
      <c r="U75" s="96">
        <v>95.520293088450018</v>
      </c>
      <c r="V75" s="96">
        <v>80.987765657393709</v>
      </c>
      <c r="W75" s="96">
        <v>48.927499047342188</v>
      </c>
    </row>
    <row r="76" spans="1:23">
      <c r="A76" s="95" t="s">
        <v>385</v>
      </c>
      <c r="B76" s="95">
        <v>300.07808848873361</v>
      </c>
      <c r="C76" s="95" t="s">
        <v>385</v>
      </c>
      <c r="D76" s="95">
        <v>55.587625830438782</v>
      </c>
      <c r="E76" s="96" t="s">
        <v>385</v>
      </c>
      <c r="F76" s="96">
        <v>223.79281227428251</v>
      </c>
      <c r="G76" s="96" t="s">
        <v>385</v>
      </c>
      <c r="H76" s="96">
        <v>84.037354207620069</v>
      </c>
      <c r="I76" s="96">
        <v>299.99269720370216</v>
      </c>
      <c r="J76" s="96">
        <v>102.30221787310259</v>
      </c>
      <c r="K76" s="96">
        <v>0.52385120183227862</v>
      </c>
      <c r="L76" s="96">
        <v>30.289461739519176</v>
      </c>
      <c r="M76" s="96">
        <v>26.61892432407863</v>
      </c>
      <c r="N76" s="96">
        <v>273.72706476132532</v>
      </c>
      <c r="O76" s="96">
        <v>42.635812938817161</v>
      </c>
      <c r="P76" s="96">
        <v>49.0876882870418</v>
      </c>
      <c r="Q76" s="96">
        <v>30.37749743845572</v>
      </c>
      <c r="R76" s="96">
        <v>99.669389991296228</v>
      </c>
      <c r="S76" s="96">
        <v>122.59750130771029</v>
      </c>
      <c r="T76" s="96">
        <v>137.93019635463907</v>
      </c>
      <c r="U76" s="96">
        <v>97.479822176270673</v>
      </c>
      <c r="V76" s="96">
        <v>77.179562197981994</v>
      </c>
      <c r="W76" s="96">
        <v>49.43738458545662</v>
      </c>
    </row>
    <row r="77" spans="1:23">
      <c r="A77" s="95" t="s">
        <v>385</v>
      </c>
      <c r="B77" s="95">
        <v>313.9867366220405</v>
      </c>
      <c r="C77" s="95" t="s">
        <v>385</v>
      </c>
      <c r="D77" s="95">
        <v>45.586971527655209</v>
      </c>
      <c r="E77" s="96" t="s">
        <v>385</v>
      </c>
      <c r="F77" s="96">
        <v>223.74735344571059</v>
      </c>
      <c r="G77" s="96" t="s">
        <v>385</v>
      </c>
      <c r="H77" s="96">
        <v>96.234927877415799</v>
      </c>
      <c r="I77" s="96">
        <v>300.22232294961861</v>
      </c>
      <c r="J77" s="96">
        <v>98.320175698458954</v>
      </c>
      <c r="K77" s="96">
        <v>0.63955872350869813</v>
      </c>
      <c r="L77" s="96">
        <v>25.255019840829821</v>
      </c>
      <c r="M77" s="96">
        <v>27.154162820791008</v>
      </c>
      <c r="N77" s="96">
        <v>280.67909661040363</v>
      </c>
      <c r="O77" s="96">
        <v>46.69551108198084</v>
      </c>
      <c r="P77" s="96">
        <v>49.698377897676181</v>
      </c>
      <c r="Q77" s="96">
        <v>29.546829242209864</v>
      </c>
      <c r="R77" s="96">
        <v>99.070556468887446</v>
      </c>
      <c r="S77" s="96">
        <v>117.57321574694041</v>
      </c>
      <c r="T77" s="96">
        <v>129.26718950934571</v>
      </c>
      <c r="U77" s="96">
        <v>98.01351612934458</v>
      </c>
      <c r="V77" s="96">
        <v>79.341965281303501</v>
      </c>
      <c r="W77" s="96">
        <v>48.091617304535788</v>
      </c>
    </row>
    <row r="78" spans="1:23">
      <c r="A78" s="95" t="s">
        <v>385</v>
      </c>
      <c r="B78" s="95">
        <v>278.18901493886528</v>
      </c>
      <c r="C78" s="95" t="s">
        <v>385</v>
      </c>
      <c r="D78" s="95">
        <v>56.078508410233887</v>
      </c>
      <c r="E78" s="96" t="s">
        <v>385</v>
      </c>
      <c r="F78" s="96">
        <v>222.62021117953651</v>
      </c>
      <c r="G78" s="96" t="s">
        <v>385</v>
      </c>
      <c r="H78" s="96">
        <v>62.983295519797807</v>
      </c>
      <c r="I78" s="96">
        <v>299.8114334086161</v>
      </c>
      <c r="J78" s="96">
        <v>99.211884858068402</v>
      </c>
      <c r="K78" s="96">
        <v>0.56342836115132144</v>
      </c>
      <c r="L78" s="96">
        <v>23.491903606383715</v>
      </c>
      <c r="M78" s="96">
        <v>27.177106366109811</v>
      </c>
      <c r="N78" s="96">
        <v>279.30759122122134</v>
      </c>
      <c r="O78" s="96">
        <v>41.897972774498989</v>
      </c>
      <c r="P78" s="96">
        <v>47.526386154964868</v>
      </c>
      <c r="Q78" s="96">
        <v>30.785544254366251</v>
      </c>
      <c r="R78" s="96">
        <v>101.54423355910831</v>
      </c>
      <c r="S78" s="96">
        <v>122.67002779638922</v>
      </c>
      <c r="T78" s="96">
        <v>132.58984002177741</v>
      </c>
      <c r="U78" s="96">
        <v>101.35975864942112</v>
      </c>
      <c r="V78" s="96">
        <v>77.940407134495572</v>
      </c>
      <c r="W78" s="96">
        <v>49.557213006726172</v>
      </c>
    </row>
    <row r="79" spans="1:23">
      <c r="A79" s="95" t="s">
        <v>385</v>
      </c>
      <c r="B79" s="95">
        <v>299.46472609744694</v>
      </c>
      <c r="C79" s="95" t="s">
        <v>385</v>
      </c>
      <c r="D79" s="95">
        <v>41.119389030227509</v>
      </c>
      <c r="E79" s="96" t="s">
        <v>385</v>
      </c>
      <c r="F79" s="96">
        <v>219.17483283057658</v>
      </c>
      <c r="G79" s="96" t="s">
        <v>385</v>
      </c>
      <c r="H79" s="96">
        <v>106.85357534643497</v>
      </c>
      <c r="I79" s="96">
        <v>300.00041413761795</v>
      </c>
      <c r="J79" s="96">
        <v>105.90441265467975</v>
      </c>
      <c r="K79" s="96">
        <v>0.52667312518842613</v>
      </c>
      <c r="L79" s="96">
        <v>24.83858928471248</v>
      </c>
      <c r="M79" s="96">
        <v>26.77416791592352</v>
      </c>
      <c r="N79" s="96">
        <v>280.21175316686174</v>
      </c>
      <c r="O79" s="96">
        <v>45.672144038305753</v>
      </c>
      <c r="P79" s="96">
        <v>47.54100193564382</v>
      </c>
      <c r="Q79" s="96">
        <v>30.756559911280863</v>
      </c>
      <c r="R79" s="96">
        <v>100.11889300206921</v>
      </c>
      <c r="S79" s="96">
        <v>116.57481900398749</v>
      </c>
      <c r="T79" s="96">
        <v>124.90591977142151</v>
      </c>
      <c r="U79" s="96">
        <v>106.49521076246805</v>
      </c>
      <c r="V79" s="96">
        <v>85.481638730005898</v>
      </c>
      <c r="W79" s="96">
        <v>49.360615518700762</v>
      </c>
    </row>
    <row r="80" spans="1:23">
      <c r="A80" s="95" t="s">
        <v>385</v>
      </c>
      <c r="B80" s="95">
        <v>281.69721824082933</v>
      </c>
      <c r="C80" s="95" t="s">
        <v>385</v>
      </c>
      <c r="D80" s="95">
        <v>54.413571588695596</v>
      </c>
      <c r="E80" s="96" t="s">
        <v>386</v>
      </c>
      <c r="F80" s="96">
        <v>228.40085640742609</v>
      </c>
      <c r="G80" s="96" t="s">
        <v>385</v>
      </c>
      <c r="H80" s="96">
        <v>102.16224334259911</v>
      </c>
      <c r="I80" s="96">
        <v>301.5752362045485</v>
      </c>
      <c r="J80" s="96">
        <v>98.095144098901315</v>
      </c>
      <c r="K80" s="96">
        <v>0.52545944835871783</v>
      </c>
      <c r="L80" s="96">
        <v>21.565692393916699</v>
      </c>
      <c r="M80" s="96">
        <v>27.382087925284907</v>
      </c>
      <c r="N80" s="96">
        <v>280.46267420877354</v>
      </c>
      <c r="O80" s="96">
        <v>38.967372155377369</v>
      </c>
      <c r="P80" s="96">
        <v>52.469709331575807</v>
      </c>
      <c r="Q80" s="96">
        <v>29.914933247883461</v>
      </c>
      <c r="R80" s="96">
        <v>103.40471924495048</v>
      </c>
      <c r="S80" s="96">
        <v>116.91615779547983</v>
      </c>
      <c r="T80" s="96">
        <v>128.51965912725066</v>
      </c>
      <c r="U80" s="96">
        <v>97.588640981275859</v>
      </c>
      <c r="V80" s="96">
        <v>81.798331706315409</v>
      </c>
      <c r="W80" s="96">
        <v>50.431029693957186</v>
      </c>
    </row>
    <row r="81" spans="1:23">
      <c r="A81" s="95" t="s">
        <v>385</v>
      </c>
      <c r="B81" s="95">
        <v>286.03980415480021</v>
      </c>
      <c r="C81" s="95" t="s">
        <v>385</v>
      </c>
      <c r="D81" s="95">
        <v>38.14347086355334</v>
      </c>
      <c r="E81" s="96" t="s">
        <v>386</v>
      </c>
      <c r="F81" s="96">
        <v>225.20535553080856</v>
      </c>
      <c r="G81" s="96" t="s">
        <v>385</v>
      </c>
      <c r="H81" s="96">
        <v>101.42398943430342</v>
      </c>
      <c r="I81" s="96">
        <v>299.88841812048878</v>
      </c>
      <c r="J81" s="96">
        <v>99.290374336850036</v>
      </c>
      <c r="K81" s="96">
        <v>0.53755763165642911</v>
      </c>
      <c r="L81" s="96">
        <v>22.567387511970139</v>
      </c>
      <c r="M81" s="96">
        <v>27.484740309755662</v>
      </c>
      <c r="N81" s="96">
        <v>279.87843766237563</v>
      </c>
      <c r="O81" s="96">
        <v>38.936247308520223</v>
      </c>
      <c r="P81" s="96">
        <v>47.973144663392915</v>
      </c>
      <c r="Q81" s="96">
        <v>30.497089717419108</v>
      </c>
      <c r="R81" s="96">
        <v>100.0411137240025</v>
      </c>
      <c r="S81" s="96">
        <v>120.8848775941601</v>
      </c>
      <c r="T81" s="96">
        <v>136.26782351601958</v>
      </c>
      <c r="U81" s="96">
        <v>102.65737399217784</v>
      </c>
      <c r="V81" s="96">
        <v>80.834744301744919</v>
      </c>
      <c r="W81" s="96">
        <v>48.507310166035552</v>
      </c>
    </row>
    <row r="82" spans="1:23">
      <c r="A82" s="95" t="s">
        <v>385</v>
      </c>
      <c r="B82" s="95">
        <v>236.11547417373001</v>
      </c>
      <c r="C82" s="95" t="s">
        <v>385</v>
      </c>
      <c r="D82" s="95">
        <v>55.206502659695204</v>
      </c>
      <c r="E82" s="96" t="s">
        <v>385</v>
      </c>
      <c r="F82" s="96">
        <v>224.43686542364978</v>
      </c>
      <c r="G82" s="96" t="s">
        <v>385</v>
      </c>
      <c r="H82" s="96">
        <v>89.971585759481059</v>
      </c>
      <c r="I82" s="96">
        <v>299.80487013120808</v>
      </c>
      <c r="J82" s="96">
        <v>101.50501843132179</v>
      </c>
      <c r="K82" s="96">
        <v>0.51912250220621292</v>
      </c>
      <c r="L82" s="96">
        <v>26.494184214310479</v>
      </c>
      <c r="M82" s="96">
        <v>27.060282704499226</v>
      </c>
      <c r="N82" s="96">
        <v>280.25310119884745</v>
      </c>
      <c r="O82" s="96">
        <v>36.486567490281828</v>
      </c>
      <c r="P82" s="96">
        <v>50.627568943122014</v>
      </c>
      <c r="Q82" s="96">
        <v>30.006671042420059</v>
      </c>
      <c r="R82" s="96">
        <v>100.92068758969732</v>
      </c>
      <c r="S82" s="96">
        <v>122.09418256471254</v>
      </c>
      <c r="T82" s="96">
        <v>128.5735106310525</v>
      </c>
      <c r="U82" s="96">
        <v>95.315542325008593</v>
      </c>
      <c r="V82" s="96">
        <v>81.170382785302664</v>
      </c>
      <c r="W82" s="96">
        <v>50.786956279475753</v>
      </c>
    </row>
    <row r="83" spans="1:23">
      <c r="A83" s="95" t="s">
        <v>385</v>
      </c>
      <c r="B83" s="95">
        <v>279.29583976232328</v>
      </c>
      <c r="C83" s="95" t="s">
        <v>385</v>
      </c>
      <c r="D83" s="95">
        <v>60.669876303759843</v>
      </c>
      <c r="E83" s="96" t="s">
        <v>385</v>
      </c>
      <c r="F83" s="96">
        <v>219.19128309374608</v>
      </c>
      <c r="G83" s="96" t="s">
        <v>385</v>
      </c>
      <c r="H83" s="96">
        <v>116.47911981617059</v>
      </c>
      <c r="I83" s="96">
        <v>300.79724187460943</v>
      </c>
      <c r="J83" s="96">
        <v>107.95240465337655</v>
      </c>
      <c r="K83" s="96">
        <v>0.57194496998753075</v>
      </c>
      <c r="L83" s="96">
        <v>24.170541787459662</v>
      </c>
      <c r="M83" s="96">
        <v>26.233083231102984</v>
      </c>
      <c r="N83" s="96">
        <v>283.13965306629819</v>
      </c>
      <c r="O83" s="96">
        <v>39.507632556812084</v>
      </c>
      <c r="P83" s="96">
        <v>52.320673625304444</v>
      </c>
      <c r="Q83" s="96">
        <v>30.522456728743656</v>
      </c>
      <c r="R83" s="96">
        <v>97.846573742046758</v>
      </c>
      <c r="S83" s="96">
        <v>116.5056093771296</v>
      </c>
      <c r="T83" s="96">
        <v>136.23750773647117</v>
      </c>
      <c r="U83" s="96">
        <v>100.80903705883193</v>
      </c>
      <c r="V83" s="96">
        <v>76.597922848519843</v>
      </c>
      <c r="W83" s="96">
        <v>49.30611083108252</v>
      </c>
    </row>
    <row r="84" spans="1:23">
      <c r="A84" s="95" t="s">
        <v>385</v>
      </c>
      <c r="B84" s="95">
        <v>252.20334326833424</v>
      </c>
      <c r="C84" s="95" t="s">
        <v>385</v>
      </c>
      <c r="D84" s="95">
        <v>51.798251204680895</v>
      </c>
      <c r="E84" s="96" t="s">
        <v>385</v>
      </c>
      <c r="F84" s="96">
        <v>217.04580175087821</v>
      </c>
      <c r="G84" s="96" t="s">
        <v>385</v>
      </c>
      <c r="H84" s="96">
        <v>73.366895817009961</v>
      </c>
      <c r="I84" s="96">
        <v>299.44208307246942</v>
      </c>
      <c r="J84" s="96">
        <v>111.30868193294597</v>
      </c>
      <c r="K84" s="96">
        <v>0.39616548831193743</v>
      </c>
      <c r="L84" s="96">
        <v>17.945981296039317</v>
      </c>
      <c r="M84" s="96">
        <v>26.532790255913323</v>
      </c>
      <c r="N84" s="96">
        <v>287.07712757401691</v>
      </c>
      <c r="O84" s="96">
        <v>37.136263933781493</v>
      </c>
      <c r="P84" s="96">
        <v>50.709681400917127</v>
      </c>
      <c r="Q84" s="96">
        <v>30.562743993347311</v>
      </c>
      <c r="R84" s="96">
        <v>102.21586583249118</v>
      </c>
      <c r="S84" s="96">
        <v>123.8983386233255</v>
      </c>
      <c r="T84" s="96">
        <v>133.25386677414585</v>
      </c>
      <c r="U84" s="96">
        <v>102.59200795726115</v>
      </c>
      <c r="V84" s="96">
        <v>80.861706157841553</v>
      </c>
      <c r="W84" s="96">
        <v>49.052631855763963</v>
      </c>
    </row>
    <row r="85" spans="1:23">
      <c r="A85" s="95" t="s">
        <v>385</v>
      </c>
      <c r="B85" s="95">
        <v>218.0951761765464</v>
      </c>
      <c r="C85" s="95" t="s">
        <v>385</v>
      </c>
      <c r="D85" s="95">
        <v>54.748538912290186</v>
      </c>
      <c r="E85" s="96" t="s">
        <v>385</v>
      </c>
      <c r="F85" s="96">
        <v>205.76190803699106</v>
      </c>
      <c r="G85" s="96" t="s">
        <v>385</v>
      </c>
      <c r="H85" s="96">
        <v>85.438615691800806</v>
      </c>
      <c r="I85" s="96">
        <v>299.11975196006409</v>
      </c>
      <c r="J85" s="96">
        <v>102.03405487322118</v>
      </c>
      <c r="K85" s="96">
        <v>0.47249377352327271</v>
      </c>
      <c r="L85" s="96">
        <v>24.828930753752157</v>
      </c>
      <c r="M85" s="96">
        <v>25.199286794049431</v>
      </c>
      <c r="N85" s="96">
        <v>286.41474435205669</v>
      </c>
      <c r="O85" s="96">
        <v>34.779897443135333</v>
      </c>
      <c r="P85" s="96">
        <v>47.270800958513142</v>
      </c>
      <c r="Q85" s="96">
        <v>30.262445063910583</v>
      </c>
      <c r="R85" s="96">
        <v>97.111322444937386</v>
      </c>
      <c r="S85" s="96">
        <v>119.07146738156077</v>
      </c>
      <c r="T85" s="96">
        <v>126.47754274981092</v>
      </c>
      <c r="U85" s="96">
        <v>97.188197200707478</v>
      </c>
      <c r="V85" s="96">
        <v>82.361910003515575</v>
      </c>
      <c r="W85" s="96">
        <v>49.101693618276038</v>
      </c>
    </row>
    <row r="86" spans="1:23">
      <c r="A86" s="95" t="s">
        <v>385</v>
      </c>
      <c r="B86" s="95">
        <v>326.94087321119412</v>
      </c>
      <c r="C86" s="95" t="s">
        <v>385</v>
      </c>
      <c r="D86" s="95">
        <v>50.892270350079222</v>
      </c>
      <c r="E86" s="96" t="s">
        <v>385</v>
      </c>
      <c r="F86" s="96">
        <v>217.6477005293961</v>
      </c>
      <c r="G86" s="96" t="s">
        <v>385</v>
      </c>
      <c r="H86" s="96">
        <v>102.22540032920335</v>
      </c>
      <c r="I86" s="96">
        <v>299.48372762219157</v>
      </c>
      <c r="J86" s="96">
        <v>95.687994702332304</v>
      </c>
      <c r="K86" s="96">
        <v>0.43897679044675908</v>
      </c>
      <c r="L86" s="96">
        <v>21.195058170368011</v>
      </c>
      <c r="M86" s="96">
        <v>25.943284691101507</v>
      </c>
      <c r="N86" s="96">
        <v>278.52170743887598</v>
      </c>
      <c r="O86" s="96">
        <v>48.352000575938717</v>
      </c>
      <c r="P86" s="96">
        <v>50.979839549123831</v>
      </c>
      <c r="Q86" s="96">
        <v>29.789577152706361</v>
      </c>
      <c r="R86" s="96">
        <v>102.21870069993145</v>
      </c>
      <c r="S86" s="96">
        <v>124.91234880368452</v>
      </c>
      <c r="T86" s="96">
        <v>125.65542150187852</v>
      </c>
      <c r="U86" s="96">
        <v>100.33160343737481</v>
      </c>
      <c r="V86" s="96">
        <v>74.98829380335934</v>
      </c>
      <c r="W86" s="96">
        <v>48.808164624468489</v>
      </c>
    </row>
    <row r="87" spans="1:23">
      <c r="A87" s="95" t="s">
        <v>385</v>
      </c>
      <c r="B87" s="95">
        <v>255.96498908107637</v>
      </c>
      <c r="C87" s="95" t="s">
        <v>385</v>
      </c>
      <c r="D87" s="95">
        <v>59.166072752820433</v>
      </c>
      <c r="E87" s="96" t="s">
        <v>385</v>
      </c>
      <c r="F87" s="96">
        <v>220.91476921669883</v>
      </c>
      <c r="G87" s="96" t="s">
        <v>385</v>
      </c>
      <c r="H87" s="96">
        <v>99.96611069103831</v>
      </c>
      <c r="I87" s="96">
        <v>300.45957384294292</v>
      </c>
      <c r="J87" s="96">
        <v>110.85239448208786</v>
      </c>
      <c r="K87" s="96">
        <v>0.49129815159827006</v>
      </c>
      <c r="L87" s="96">
        <v>24.554409226545065</v>
      </c>
      <c r="M87" s="96">
        <v>26.366619273371768</v>
      </c>
      <c r="N87" s="96">
        <v>283.76954707417332</v>
      </c>
      <c r="O87" s="96">
        <v>38.627371341142698</v>
      </c>
      <c r="P87" s="96">
        <v>53.733594359600225</v>
      </c>
      <c r="Q87" s="96">
        <v>27.978612758098237</v>
      </c>
      <c r="R87" s="96">
        <v>101.27246202510612</v>
      </c>
      <c r="S87" s="96">
        <v>122.10506010310579</v>
      </c>
      <c r="T87" s="96">
        <v>130.99303764580429</v>
      </c>
      <c r="U87" s="96">
        <v>97.029780418691757</v>
      </c>
      <c r="V87" s="96">
        <v>82.635192316485103</v>
      </c>
      <c r="W87" s="96">
        <v>50.565825149268491</v>
      </c>
    </row>
    <row r="88" spans="1:23">
      <c r="A88" s="95" t="s">
        <v>385</v>
      </c>
      <c r="B88" s="95">
        <v>256.53568389751848</v>
      </c>
      <c r="C88" s="95" t="s">
        <v>385</v>
      </c>
      <c r="D88" s="95">
        <v>55.029699261591624</v>
      </c>
      <c r="E88" s="96" t="s">
        <v>385</v>
      </c>
      <c r="F88" s="96">
        <v>217.37997123680881</v>
      </c>
      <c r="G88" s="96" t="s">
        <v>385</v>
      </c>
      <c r="H88" s="96">
        <v>93.50031242134753</v>
      </c>
      <c r="I88" s="96">
        <v>300.99658676280779</v>
      </c>
      <c r="J88" s="96">
        <v>86.605796403024712</v>
      </c>
      <c r="K88" s="96">
        <v>0.47239613353080062</v>
      </c>
      <c r="L88" s="96">
        <v>26.889562853205259</v>
      </c>
      <c r="M88" s="96">
        <v>26.192362564965514</v>
      </c>
      <c r="N88" s="96">
        <v>282.42240966652673</v>
      </c>
      <c r="O88" s="96">
        <v>36.231055806752451</v>
      </c>
      <c r="P88" s="96">
        <v>50.847500000431062</v>
      </c>
      <c r="Q88" s="96">
        <v>28.523602146058888</v>
      </c>
      <c r="R88" s="96">
        <v>99.727303073454124</v>
      </c>
      <c r="S88" s="96">
        <v>121.84276448787575</v>
      </c>
      <c r="T88" s="96">
        <v>127.69593454205877</v>
      </c>
      <c r="U88" s="96">
        <v>104.38500733974381</v>
      </c>
      <c r="V88" s="96">
        <v>79.492628914901914</v>
      </c>
      <c r="W88" s="96">
        <v>49.270072315744073</v>
      </c>
    </row>
    <row r="89" spans="1:23">
      <c r="A89" s="95" t="s">
        <v>385</v>
      </c>
      <c r="B89" s="95">
        <v>274.15135700157026</v>
      </c>
      <c r="C89" s="95" t="s">
        <v>385</v>
      </c>
      <c r="D89" s="95">
        <v>66.599610663826709</v>
      </c>
      <c r="E89" s="96" t="s">
        <v>386</v>
      </c>
      <c r="F89" s="96">
        <v>231.19151024790605</v>
      </c>
      <c r="G89" s="96" t="s">
        <v>385</v>
      </c>
      <c r="H89" s="96">
        <v>90.525055435309554</v>
      </c>
      <c r="I89" s="96">
        <v>300.51006829480872</v>
      </c>
      <c r="J89" s="96">
        <v>98.491357969302413</v>
      </c>
      <c r="K89" s="96">
        <v>0.48939658042004058</v>
      </c>
      <c r="L89" s="96">
        <v>22.753833303884743</v>
      </c>
      <c r="M89" s="96">
        <v>27.883074412269774</v>
      </c>
      <c r="N89" s="96">
        <v>279.22716731313653</v>
      </c>
      <c r="O89" s="96">
        <v>38.368980530436893</v>
      </c>
      <c r="P89" s="96">
        <v>51.230653340018264</v>
      </c>
      <c r="Q89" s="96">
        <v>29.831958375174697</v>
      </c>
      <c r="R89" s="96">
        <v>102.25428845195893</v>
      </c>
      <c r="S89" s="96">
        <v>121.67105251775827</v>
      </c>
      <c r="T89" s="96">
        <v>129.86232857505186</v>
      </c>
      <c r="U89" s="96">
        <v>95.10317793953692</v>
      </c>
      <c r="V89" s="96">
        <v>79.584616327598184</v>
      </c>
      <c r="W89" s="96">
        <v>52.309865648360969</v>
      </c>
    </row>
    <row r="90" spans="1:23">
      <c r="A90" s="95" t="s">
        <v>385</v>
      </c>
      <c r="B90" s="95">
        <v>283.6225014017665</v>
      </c>
      <c r="C90" s="95" t="s">
        <v>385</v>
      </c>
      <c r="D90" s="95">
        <v>54.056939793746089</v>
      </c>
      <c r="E90" s="96" t="s">
        <v>385</v>
      </c>
      <c r="F90" s="96">
        <v>220.83811886161249</v>
      </c>
      <c r="G90" s="96" t="s">
        <v>385</v>
      </c>
      <c r="H90" s="96">
        <v>61.136594317358089</v>
      </c>
      <c r="I90" s="96">
        <v>300.8153872847858</v>
      </c>
      <c r="J90" s="96">
        <v>88.638847897007409</v>
      </c>
      <c r="K90" s="96">
        <v>0.52087562657811992</v>
      </c>
      <c r="L90" s="96">
        <v>23.026030209748203</v>
      </c>
      <c r="M90" s="96">
        <v>26.870275881987109</v>
      </c>
      <c r="N90" s="96">
        <v>280.82063417798508</v>
      </c>
      <c r="O90" s="96">
        <v>41.89174888972196</v>
      </c>
      <c r="P90" s="96">
        <v>48.923664457045739</v>
      </c>
      <c r="Q90" s="96">
        <v>30.006690974251871</v>
      </c>
      <c r="R90" s="96">
        <v>97.542870481567519</v>
      </c>
      <c r="S90" s="96">
        <v>118.89994874151044</v>
      </c>
      <c r="T90" s="96">
        <v>137.40852700750065</v>
      </c>
      <c r="U90" s="96">
        <v>95.405797297308766</v>
      </c>
      <c r="V90" s="96">
        <v>79.818423474541348</v>
      </c>
      <c r="W90" s="96">
        <v>46.537843285282754</v>
      </c>
    </row>
    <row r="91" spans="1:23">
      <c r="A91" s="95" t="s">
        <v>385</v>
      </c>
      <c r="B91" s="95">
        <v>286.58371630183854</v>
      </c>
      <c r="C91" s="95" t="s">
        <v>385</v>
      </c>
      <c r="D91" s="95">
        <v>61.706040010995082</v>
      </c>
      <c r="E91" s="96" t="s">
        <v>386</v>
      </c>
      <c r="F91" s="96">
        <v>230.51272074411543</v>
      </c>
      <c r="G91" s="96" t="s">
        <v>385</v>
      </c>
      <c r="H91" s="96">
        <v>100.77489438559351</v>
      </c>
      <c r="I91" s="96">
        <v>299.7851131779841</v>
      </c>
      <c r="J91" s="96">
        <v>99.317793974737853</v>
      </c>
      <c r="K91" s="96">
        <v>0.43020730622806813</v>
      </c>
      <c r="L91" s="96">
        <v>30.150081342404849</v>
      </c>
      <c r="M91" s="96">
        <v>27.515732735052847</v>
      </c>
      <c r="N91" s="96">
        <v>276.01881149920246</v>
      </c>
      <c r="O91" s="96">
        <v>38.271477498025362</v>
      </c>
      <c r="P91" s="96">
        <v>50.936178869771652</v>
      </c>
      <c r="Q91" s="96">
        <v>29.957652268050811</v>
      </c>
      <c r="R91" s="96">
        <v>101.08804962872757</v>
      </c>
      <c r="S91" s="96">
        <v>119.50878338831636</v>
      </c>
      <c r="T91" s="96">
        <v>129.78162234577366</v>
      </c>
      <c r="U91" s="96">
        <v>103.2027519251062</v>
      </c>
      <c r="V91" s="96">
        <v>80.087143443862402</v>
      </c>
      <c r="W91" s="96">
        <v>50.811806359261055</v>
      </c>
    </row>
    <row r="92" spans="1:23">
      <c r="A92" s="95" t="s">
        <v>385</v>
      </c>
      <c r="B92" s="95">
        <v>239.9888607782799</v>
      </c>
      <c r="C92" s="95" t="s">
        <v>385</v>
      </c>
      <c r="D92" s="95">
        <v>51.052286657017227</v>
      </c>
      <c r="E92" s="96" t="s">
        <v>385</v>
      </c>
      <c r="F92" s="96">
        <v>214.69709578383734</v>
      </c>
      <c r="G92" s="96" t="s">
        <v>385</v>
      </c>
      <c r="H92" s="96">
        <v>102.56464342605227</v>
      </c>
      <c r="I92" s="96">
        <v>299.42321088087135</v>
      </c>
      <c r="J92" s="96">
        <v>100.20233041635544</v>
      </c>
      <c r="K92" s="96">
        <v>0.47152247502650102</v>
      </c>
      <c r="L92" s="96">
        <v>24.620256811139285</v>
      </c>
      <c r="M92" s="96">
        <v>25.943117118169713</v>
      </c>
      <c r="N92" s="96">
        <v>286.8344714931211</v>
      </c>
      <c r="O92" s="96">
        <v>31.070282663025829</v>
      </c>
      <c r="P92" s="96">
        <v>52.460548527816421</v>
      </c>
      <c r="Q92" s="96">
        <v>30.72728711686748</v>
      </c>
      <c r="R92" s="96">
        <v>102.89936688579196</v>
      </c>
      <c r="S92" s="96">
        <v>124.72098802036223</v>
      </c>
      <c r="T92" s="96">
        <v>129.0015979371621</v>
      </c>
      <c r="U92" s="96">
        <v>93.316590285525933</v>
      </c>
      <c r="V92" s="96">
        <v>78.383805318269722</v>
      </c>
      <c r="W92" s="96">
        <v>51.484822372698325</v>
      </c>
    </row>
    <row r="93" spans="1:23">
      <c r="A93" s="95" t="s">
        <v>385</v>
      </c>
      <c r="B93" s="95">
        <v>326.22491048648726</v>
      </c>
      <c r="C93" s="95" t="s">
        <v>385</v>
      </c>
      <c r="D93" s="95">
        <v>63.863850816568508</v>
      </c>
      <c r="E93" s="96" t="s">
        <v>386</v>
      </c>
      <c r="F93" s="96">
        <v>225.56739110746437</v>
      </c>
      <c r="G93" s="96" t="s">
        <v>385</v>
      </c>
      <c r="H93" s="96">
        <v>91.570405971838056</v>
      </c>
      <c r="I93" s="96">
        <v>300.37679355210236</v>
      </c>
      <c r="J93" s="96">
        <v>103.33673576510998</v>
      </c>
      <c r="K93" s="96">
        <v>0.45380919524493107</v>
      </c>
      <c r="L93" s="96">
        <v>24.035879813669581</v>
      </c>
      <c r="M93" s="96">
        <v>26.79308703452708</v>
      </c>
      <c r="N93" s="96">
        <v>278.56371161658205</v>
      </c>
      <c r="O93" s="96">
        <v>45.698986670324331</v>
      </c>
      <c r="P93" s="96">
        <v>52.873722333412552</v>
      </c>
      <c r="Q93" s="96">
        <v>28.805265917677769</v>
      </c>
      <c r="R93" s="96">
        <v>95.723076134664012</v>
      </c>
      <c r="S93" s="96">
        <v>118.75471560171123</v>
      </c>
      <c r="T93" s="96">
        <v>136.39278205510792</v>
      </c>
      <c r="U93" s="96">
        <v>98.117545114963605</v>
      </c>
      <c r="V93" s="96">
        <v>81.520238585464398</v>
      </c>
      <c r="W93" s="96">
        <v>51.385692790322587</v>
      </c>
    </row>
    <row r="94" spans="1:23">
      <c r="A94" s="95" t="s">
        <v>385</v>
      </c>
      <c r="B94" s="95">
        <v>294.75099683500883</v>
      </c>
      <c r="C94" s="95" t="s">
        <v>385</v>
      </c>
      <c r="D94" s="95">
        <v>49.004725231819151</v>
      </c>
      <c r="E94" s="96" t="s">
        <v>385</v>
      </c>
      <c r="F94" s="96">
        <v>215.29298890099119</v>
      </c>
      <c r="G94" s="96" t="s">
        <v>385</v>
      </c>
      <c r="H94" s="96">
        <v>78.338525621993938</v>
      </c>
      <c r="I94" s="96">
        <v>300.31532002855567</v>
      </c>
      <c r="J94" s="96">
        <v>99.659119469794291</v>
      </c>
      <c r="K94" s="96">
        <v>0.35145595392398266</v>
      </c>
      <c r="L94" s="96">
        <v>16.859583441100657</v>
      </c>
      <c r="M94" s="96">
        <v>25.52729556297313</v>
      </c>
      <c r="N94" s="96">
        <v>277.50316097839163</v>
      </c>
      <c r="O94" s="96">
        <v>41.791613058508439</v>
      </c>
      <c r="P94" s="96">
        <v>49.354575444936842</v>
      </c>
      <c r="Q94" s="96">
        <v>29.745657356348673</v>
      </c>
      <c r="R94" s="96">
        <v>99.329732706134607</v>
      </c>
      <c r="S94" s="96">
        <v>118.10760994294408</v>
      </c>
      <c r="T94" s="96">
        <v>127.84174902600037</v>
      </c>
      <c r="U94" s="96">
        <v>94.691125243397636</v>
      </c>
      <c r="V94" s="96">
        <v>77.71299173920913</v>
      </c>
      <c r="W94" s="96">
        <v>52.616549979292529</v>
      </c>
    </row>
    <row r="95" spans="1:23">
      <c r="A95" s="95" t="s">
        <v>385</v>
      </c>
      <c r="B95" s="95">
        <v>282.42711023118784</v>
      </c>
      <c r="C95" s="95" t="s">
        <v>385</v>
      </c>
      <c r="D95" s="95">
        <v>50.098944188015942</v>
      </c>
      <c r="E95" s="96" t="s">
        <v>385</v>
      </c>
      <c r="F95" s="96">
        <v>214.74803419631652</v>
      </c>
      <c r="G95" s="96" t="s">
        <v>385</v>
      </c>
      <c r="H95" s="96">
        <v>77.391492559340747</v>
      </c>
      <c r="I95" s="96">
        <v>299.61870279779669</v>
      </c>
      <c r="J95" s="96">
        <v>92.914220144980817</v>
      </c>
      <c r="K95" s="96">
        <v>0.50724230591800479</v>
      </c>
      <c r="L95" s="96">
        <v>22.508102680204956</v>
      </c>
      <c r="M95" s="96">
        <v>26.592928353316072</v>
      </c>
      <c r="N95" s="96">
        <v>282.73517175245553</v>
      </c>
      <c r="O95" s="96">
        <v>45.511804381011309</v>
      </c>
      <c r="P95" s="96">
        <v>45.482403046715504</v>
      </c>
      <c r="Q95" s="96">
        <v>29.861376764027177</v>
      </c>
      <c r="R95" s="96">
        <v>101.19124278637926</v>
      </c>
      <c r="S95" s="96">
        <v>116.02281185842524</v>
      </c>
      <c r="T95" s="96">
        <v>134.58613401285078</v>
      </c>
      <c r="U95" s="96">
        <v>105.4237586054585</v>
      </c>
      <c r="V95" s="96">
        <v>80.42508995066504</v>
      </c>
      <c r="W95" s="96">
        <v>49.263594192241271</v>
      </c>
    </row>
    <row r="96" spans="1:23">
      <c r="A96" s="95" t="s">
        <v>385</v>
      </c>
      <c r="B96" s="95">
        <v>302.79251750020535</v>
      </c>
      <c r="C96" s="95" t="s">
        <v>385</v>
      </c>
      <c r="D96" s="95">
        <v>50.674985512923179</v>
      </c>
      <c r="E96" s="96" t="s">
        <v>386</v>
      </c>
      <c r="F96" s="96">
        <v>231.88312695605089</v>
      </c>
      <c r="G96" s="96" t="s">
        <v>385</v>
      </c>
      <c r="H96" s="96">
        <v>95.50489578208601</v>
      </c>
      <c r="I96" s="96">
        <v>299.4546394211734</v>
      </c>
      <c r="J96" s="96">
        <v>112.99743292396292</v>
      </c>
      <c r="K96" s="96">
        <v>0.52488061230060012</v>
      </c>
      <c r="L96" s="96">
        <v>23.279100770385227</v>
      </c>
      <c r="M96" s="96">
        <v>28.074743351082624</v>
      </c>
      <c r="N96" s="96">
        <v>278.75276522448161</v>
      </c>
      <c r="O96" s="96">
        <v>43.315063337374454</v>
      </c>
      <c r="P96" s="96">
        <v>50.516671772605363</v>
      </c>
      <c r="Q96" s="96">
        <v>30.201704790245785</v>
      </c>
      <c r="R96" s="96">
        <v>103.52869305922005</v>
      </c>
      <c r="S96" s="96">
        <v>116.03929789370255</v>
      </c>
      <c r="T96" s="96">
        <v>133.56375129526612</v>
      </c>
      <c r="U96" s="96">
        <v>98.43255581675335</v>
      </c>
      <c r="V96" s="96">
        <v>79.254594030218726</v>
      </c>
      <c r="W96" s="96">
        <v>50.631785920419119</v>
      </c>
    </row>
    <row r="97" spans="1:23">
      <c r="A97" s="95" t="s">
        <v>385</v>
      </c>
      <c r="B97" s="95">
        <v>259.84267194780989</v>
      </c>
      <c r="C97" s="95" t="s">
        <v>385</v>
      </c>
      <c r="D97" s="95">
        <v>52.313374841795913</v>
      </c>
      <c r="E97" s="96" t="s">
        <v>385</v>
      </c>
      <c r="F97" s="96">
        <v>220.00917035702548</v>
      </c>
      <c r="G97" s="96" t="s">
        <v>385</v>
      </c>
      <c r="H97" s="96">
        <v>89.752947639507511</v>
      </c>
      <c r="I97" s="96">
        <v>300.78186730544837</v>
      </c>
      <c r="J97" s="96">
        <v>112.83209521088135</v>
      </c>
      <c r="K97" s="96">
        <v>0.55821668431370741</v>
      </c>
      <c r="L97" s="96">
        <v>23.505288878446365</v>
      </c>
      <c r="M97" s="96">
        <v>26.658995361307344</v>
      </c>
      <c r="N97" s="96">
        <v>276.9049367931184</v>
      </c>
      <c r="O97" s="96">
        <v>32.602257516679579</v>
      </c>
      <c r="P97" s="96">
        <v>52.537752692585869</v>
      </c>
      <c r="Q97" s="96">
        <v>29.719779512762226</v>
      </c>
      <c r="R97" s="96">
        <v>99.827979106839294</v>
      </c>
      <c r="S97" s="96">
        <v>118.82301387850625</v>
      </c>
      <c r="T97" s="96">
        <v>132.73611693984793</v>
      </c>
      <c r="U97" s="96">
        <v>106.46199963978511</v>
      </c>
      <c r="V97" s="96">
        <v>78.983099834171682</v>
      </c>
      <c r="W97" s="96">
        <v>51.344784928645169</v>
      </c>
    </row>
    <row r="98" spans="1:23">
      <c r="A98" s="95" t="s">
        <v>385</v>
      </c>
      <c r="B98" s="95">
        <v>321.0026587782047</v>
      </c>
      <c r="C98" s="95" t="s">
        <v>385</v>
      </c>
      <c r="D98" s="95">
        <v>58.400627635680728</v>
      </c>
      <c r="E98" s="96" t="s">
        <v>385</v>
      </c>
      <c r="F98" s="96">
        <v>220.52903467696541</v>
      </c>
      <c r="G98" s="96" t="s">
        <v>385</v>
      </c>
      <c r="H98" s="96">
        <v>82.368714486344118</v>
      </c>
      <c r="I98" s="96">
        <v>299.85348109212549</v>
      </c>
      <c r="J98" s="96">
        <v>97.259239522303488</v>
      </c>
      <c r="K98" s="96">
        <v>0.48723353769519934</v>
      </c>
      <c r="L98" s="96">
        <v>29.928111148163818</v>
      </c>
      <c r="M98" s="96">
        <v>26.981752393390785</v>
      </c>
      <c r="N98" s="96">
        <v>280.4177739344824</v>
      </c>
      <c r="O98" s="96">
        <v>46.946785117108078</v>
      </c>
      <c r="P98" s="96">
        <v>47.495102931187262</v>
      </c>
      <c r="Q98" s="96">
        <v>28.672102894458671</v>
      </c>
      <c r="R98" s="96">
        <v>102.08756667868597</v>
      </c>
      <c r="S98" s="96">
        <v>119.82170552853512</v>
      </c>
      <c r="T98" s="96">
        <v>128.44558387295461</v>
      </c>
      <c r="U98" s="96">
        <v>92.141028120452859</v>
      </c>
      <c r="V98" s="96">
        <v>79.545777226663404</v>
      </c>
      <c r="W98" s="96">
        <v>51.398077662782683</v>
      </c>
    </row>
    <row r="99" spans="1:23">
      <c r="A99" s="95" t="s">
        <v>385</v>
      </c>
      <c r="B99" s="95">
        <v>231.20153138361428</v>
      </c>
      <c r="C99" s="95" t="s">
        <v>385</v>
      </c>
      <c r="D99" s="95">
        <v>42.495474700428367</v>
      </c>
      <c r="E99" s="96" t="s">
        <v>385</v>
      </c>
      <c r="F99" s="96">
        <v>222.25418512751236</v>
      </c>
      <c r="G99" s="96" t="s">
        <v>385</v>
      </c>
      <c r="H99" s="96">
        <v>89.350897230339854</v>
      </c>
      <c r="I99" s="96">
        <v>300.18303915337736</v>
      </c>
      <c r="J99" s="96">
        <v>100.75774185256218</v>
      </c>
      <c r="K99" s="96">
        <v>0.44051440211247744</v>
      </c>
      <c r="L99" s="96">
        <v>21.540243233682922</v>
      </c>
      <c r="M99" s="96">
        <v>27.26915792963014</v>
      </c>
      <c r="N99" s="96">
        <v>283.44943805715133</v>
      </c>
      <c r="O99" s="96">
        <v>31.674991906162749</v>
      </c>
      <c r="P99" s="96">
        <v>49.477983458848058</v>
      </c>
      <c r="Q99" s="96">
        <v>31.626021915277697</v>
      </c>
      <c r="R99" s="96">
        <v>102.94799050298302</v>
      </c>
      <c r="S99" s="96">
        <v>120.5068229239093</v>
      </c>
      <c r="T99" s="96">
        <v>129.94282007998495</v>
      </c>
      <c r="U99" s="96">
        <v>90.736226209673418</v>
      </c>
      <c r="V99" s="96">
        <v>76.793332029999675</v>
      </c>
      <c r="W99" s="96">
        <v>50.526438486133792</v>
      </c>
    </row>
    <row r="100" spans="1:23">
      <c r="A100" s="95" t="s">
        <v>385</v>
      </c>
      <c r="B100" s="95">
        <v>241.20621187964915</v>
      </c>
      <c r="C100" s="95" t="s">
        <v>385</v>
      </c>
      <c r="D100" s="95">
        <v>51.714524523527935</v>
      </c>
      <c r="E100" s="96" t="s">
        <v>385</v>
      </c>
      <c r="F100" s="96">
        <v>206.41312733316747</v>
      </c>
      <c r="G100" s="96" t="s">
        <v>385</v>
      </c>
      <c r="H100" s="96">
        <v>89.867866570105363</v>
      </c>
      <c r="I100" s="96">
        <v>300.08510356568877</v>
      </c>
      <c r="J100" s="96">
        <v>98.281031656722192</v>
      </c>
      <c r="K100" s="96">
        <v>0.63723701288758283</v>
      </c>
      <c r="L100" s="96">
        <v>21.833884915840837</v>
      </c>
      <c r="M100" s="96">
        <v>25.008294104171224</v>
      </c>
      <c r="N100" s="96">
        <v>284.54044796229772</v>
      </c>
      <c r="O100" s="96">
        <v>37.491928146901131</v>
      </c>
      <c r="P100" s="96">
        <v>48.324106365513643</v>
      </c>
      <c r="Q100" s="96">
        <v>29.029176561224883</v>
      </c>
      <c r="R100" s="96">
        <v>99.350099002647255</v>
      </c>
      <c r="S100" s="96">
        <v>120.32997979828832</v>
      </c>
      <c r="T100" s="96">
        <v>133.60533749501016</v>
      </c>
      <c r="U100" s="96">
        <v>95.684415577738164</v>
      </c>
      <c r="V100" s="96">
        <v>80.499599437546621</v>
      </c>
      <c r="W100" s="96">
        <v>51.543322262840015</v>
      </c>
    </row>
    <row r="101" spans="1:23">
      <c r="A101" s="95" t="s">
        <v>385</v>
      </c>
      <c r="B101" s="95">
        <v>225.35915363765878</v>
      </c>
      <c r="C101" s="95" t="s">
        <v>385</v>
      </c>
      <c r="D101" s="95">
        <v>51.849071051448064</v>
      </c>
      <c r="E101" s="96" t="s">
        <v>385</v>
      </c>
      <c r="F101" s="96">
        <v>216.81194092324677</v>
      </c>
      <c r="G101" s="96" t="s">
        <v>385</v>
      </c>
      <c r="H101" s="96">
        <v>96.628201743813818</v>
      </c>
      <c r="I101" s="96">
        <v>301.18050970546784</v>
      </c>
      <c r="J101" s="96">
        <v>97.679964951248664</v>
      </c>
      <c r="K101" s="96">
        <v>0.51264449766381026</v>
      </c>
      <c r="L101" s="96">
        <v>22.853085161202014</v>
      </c>
      <c r="M101" s="96">
        <v>26.293557095565628</v>
      </c>
      <c r="N101" s="96">
        <v>279.56041960611662</v>
      </c>
      <c r="O101" s="96">
        <v>32.58466635369539</v>
      </c>
      <c r="P101" s="96">
        <v>48.385268050476732</v>
      </c>
      <c r="Q101" s="96">
        <v>30.435934163922656</v>
      </c>
      <c r="R101" s="96">
        <v>97.063222102642541</v>
      </c>
      <c r="S101" s="96">
        <v>119.84975391241127</v>
      </c>
      <c r="T101" s="96">
        <v>128.9528878796693</v>
      </c>
      <c r="U101" s="96">
        <v>98.982030194903359</v>
      </c>
      <c r="V101" s="96">
        <v>78.715955372473218</v>
      </c>
      <c r="W101" s="96">
        <v>49.258995754199198</v>
      </c>
    </row>
    <row r="102" spans="1:23">
      <c r="A102" s="95" t="s">
        <v>385</v>
      </c>
      <c r="B102" s="95">
        <v>274.40793997951494</v>
      </c>
      <c r="C102" s="95" t="s">
        <v>385</v>
      </c>
      <c r="D102" s="95">
        <v>49.281604782718404</v>
      </c>
      <c r="E102" s="96" t="s">
        <v>385</v>
      </c>
      <c r="F102" s="96">
        <v>206.45669582796205</v>
      </c>
      <c r="G102" s="96" t="s">
        <v>385</v>
      </c>
      <c r="H102" s="96">
        <v>91.180788905766477</v>
      </c>
      <c r="I102" s="96">
        <v>301.02056049557291</v>
      </c>
      <c r="J102" s="96">
        <v>99.721575004032943</v>
      </c>
      <c r="K102" s="96">
        <v>0.47331853966522275</v>
      </c>
      <c r="L102" s="96">
        <v>24.710168764307088</v>
      </c>
      <c r="M102" s="96">
        <v>25.197729493456517</v>
      </c>
      <c r="N102" s="96">
        <v>285.38194930941688</v>
      </c>
      <c r="O102" s="96">
        <v>42.236579277375483</v>
      </c>
      <c r="P102" s="96">
        <v>46.825552243962285</v>
      </c>
      <c r="Q102" s="96">
        <v>30.780891900138162</v>
      </c>
      <c r="R102" s="96">
        <v>95.843069613336056</v>
      </c>
      <c r="S102" s="96">
        <v>125.06985302976901</v>
      </c>
      <c r="T102" s="96">
        <v>128.28373405968125</v>
      </c>
      <c r="U102" s="96">
        <v>100.38844860908017</v>
      </c>
      <c r="V102" s="96">
        <v>77.451507754199469</v>
      </c>
      <c r="W102" s="96">
        <v>50.09435153973137</v>
      </c>
    </row>
    <row r="103" spans="1:23">
      <c r="A103" s="95" t="s">
        <v>385</v>
      </c>
      <c r="B103" s="95">
        <v>281.67306995437366</v>
      </c>
      <c r="C103" s="95" t="s">
        <v>385</v>
      </c>
      <c r="D103" s="95">
        <v>38.776788140812798</v>
      </c>
      <c r="E103" s="96" t="s">
        <v>385</v>
      </c>
      <c r="F103" s="96">
        <v>218.34084512373892</v>
      </c>
      <c r="G103" s="96" t="s">
        <v>385</v>
      </c>
      <c r="H103" s="96">
        <v>75.384169660784394</v>
      </c>
      <c r="I103" s="96">
        <v>300.74376970815723</v>
      </c>
      <c r="J103" s="96">
        <v>104.88333194307462</v>
      </c>
      <c r="K103" s="96">
        <v>0.53239108468165286</v>
      </c>
      <c r="L103" s="96">
        <v>27.667478978332205</v>
      </c>
      <c r="M103" s="96">
        <v>26.085249368312851</v>
      </c>
      <c r="N103" s="96">
        <v>275.90940084615721</v>
      </c>
      <c r="O103" s="96">
        <v>44.031081174373099</v>
      </c>
      <c r="P103" s="96">
        <v>48.382077488086381</v>
      </c>
      <c r="Q103" s="96">
        <v>30.102020728513462</v>
      </c>
      <c r="R103" s="96">
        <v>100.81047009415686</v>
      </c>
      <c r="S103" s="96">
        <v>122.28917836625274</v>
      </c>
      <c r="T103" s="96">
        <v>132.00883409663484</v>
      </c>
      <c r="U103" s="96">
        <v>99.301127003803558</v>
      </c>
      <c r="V103" s="96">
        <v>81.57041085123943</v>
      </c>
      <c r="W103" s="96">
        <v>46.167217227442606</v>
      </c>
    </row>
    <row r="104" spans="1:23">
      <c r="A104" s="95" t="s">
        <v>385</v>
      </c>
      <c r="B104" s="95">
        <v>309.88168879995254</v>
      </c>
      <c r="C104" s="95" t="s">
        <v>385</v>
      </c>
      <c r="D104" s="95">
        <v>56.460357675908334</v>
      </c>
      <c r="E104" s="96" t="s">
        <v>385</v>
      </c>
      <c r="F104" s="96">
        <v>219.52941042680428</v>
      </c>
      <c r="G104" s="96" t="s">
        <v>385</v>
      </c>
      <c r="H104" s="96">
        <v>105.02117275852666</v>
      </c>
      <c r="I104" s="96">
        <v>299.55530154103434</v>
      </c>
      <c r="J104" s="96">
        <v>89.324720246998709</v>
      </c>
      <c r="K104" s="96">
        <v>0.35489683804614536</v>
      </c>
      <c r="L104" s="96">
        <v>27.50353107408602</v>
      </c>
      <c r="M104" s="96">
        <v>26.034802561773105</v>
      </c>
      <c r="N104" s="96">
        <v>277.63657865058167</v>
      </c>
      <c r="O104" s="96">
        <v>45.365085803001435</v>
      </c>
      <c r="P104" s="96">
        <v>52.382528243067995</v>
      </c>
      <c r="Q104" s="96">
        <v>29.434543282851386</v>
      </c>
      <c r="R104" s="96">
        <v>97.843295361686899</v>
      </c>
      <c r="S104" s="96">
        <v>118.06764208918052</v>
      </c>
      <c r="T104" s="96">
        <v>125.70054175757525</v>
      </c>
      <c r="U104" s="96">
        <v>102.48339409679116</v>
      </c>
      <c r="V104" s="96">
        <v>77.633481600092352</v>
      </c>
      <c r="W104" s="96">
        <v>48.405676773270308</v>
      </c>
    </row>
    <row r="105" spans="1:23">
      <c r="A105" s="95" t="s">
        <v>385</v>
      </c>
      <c r="B105" s="95">
        <v>280.10299689355111</v>
      </c>
      <c r="C105" s="95" t="s">
        <v>385</v>
      </c>
      <c r="D105" s="95">
        <v>56.658767752977298</v>
      </c>
      <c r="E105" s="96" t="s">
        <v>386</v>
      </c>
      <c r="F105" s="96">
        <v>226.00331910785943</v>
      </c>
      <c r="G105" s="96" t="s">
        <v>385</v>
      </c>
      <c r="H105" s="96">
        <v>80.611014988075638</v>
      </c>
      <c r="I105" s="96">
        <v>299.91837082450434</v>
      </c>
      <c r="J105" s="96">
        <v>105.6640743437369</v>
      </c>
      <c r="K105" s="96">
        <v>0.53267501724861122</v>
      </c>
      <c r="L105" s="96">
        <v>25.759820398949341</v>
      </c>
      <c r="M105" s="96">
        <v>26.920128525833121</v>
      </c>
      <c r="N105" s="96">
        <v>273.91655091638211</v>
      </c>
      <c r="O105" s="96">
        <v>35.836412854476379</v>
      </c>
      <c r="P105" s="96">
        <v>49.53085702107893</v>
      </c>
      <c r="Q105" s="96">
        <v>30.824185436083685</v>
      </c>
      <c r="R105" s="96">
        <v>100.21101725470443</v>
      </c>
      <c r="S105" s="96">
        <v>120.10545052107479</v>
      </c>
      <c r="T105" s="96">
        <v>127.57150649785247</v>
      </c>
      <c r="U105" s="96">
        <v>102.44237379778234</v>
      </c>
      <c r="V105" s="96">
        <v>77.086160650852364</v>
      </c>
      <c r="W105" s="96">
        <v>52.003193079049694</v>
      </c>
    </row>
    <row r="106" spans="1:23">
      <c r="A106" s="95" t="s">
        <v>385</v>
      </c>
      <c r="B106" s="95">
        <v>233.53320634179713</v>
      </c>
      <c r="C106" s="95" t="s">
        <v>385</v>
      </c>
      <c r="D106" s="95">
        <v>39.514160988999649</v>
      </c>
      <c r="E106" s="96" t="s">
        <v>385</v>
      </c>
      <c r="F106" s="96">
        <v>223.77464307790396</v>
      </c>
      <c r="G106" s="96" t="s">
        <v>385</v>
      </c>
      <c r="H106" s="96">
        <v>88.014775694467914</v>
      </c>
      <c r="I106" s="96">
        <v>300.03197370358299</v>
      </c>
      <c r="J106" s="96">
        <v>105.58784493728687</v>
      </c>
      <c r="K106" s="96">
        <v>0.5510342775541226</v>
      </c>
      <c r="L106" s="96">
        <v>24.730723084206701</v>
      </c>
      <c r="M106" s="96">
        <v>26.532634182004049</v>
      </c>
      <c r="N106" s="96">
        <v>274.74786765854208</v>
      </c>
      <c r="O106" s="96">
        <v>33.780431850868332</v>
      </c>
      <c r="P106" s="96">
        <v>48.025663902124549</v>
      </c>
      <c r="Q106" s="96">
        <v>31.580086793429391</v>
      </c>
      <c r="R106" s="96">
        <v>102.05333518535518</v>
      </c>
      <c r="S106" s="96">
        <v>116.31051116008723</v>
      </c>
      <c r="T106" s="96">
        <v>129.90032376650012</v>
      </c>
      <c r="U106" s="96">
        <v>100.85373461803195</v>
      </c>
      <c r="V106" s="96">
        <v>82.558761766629317</v>
      </c>
      <c r="W106" s="96">
        <v>49.891770296354373</v>
      </c>
    </row>
    <row r="107" spans="1:23">
      <c r="A107" s="95" t="s">
        <v>385</v>
      </c>
      <c r="B107" s="95">
        <v>272.28496218336716</v>
      </c>
      <c r="C107" s="95" t="s">
        <v>385</v>
      </c>
      <c r="D107" s="95">
        <v>53.073069232053001</v>
      </c>
      <c r="E107" s="96" t="s">
        <v>385</v>
      </c>
      <c r="F107" s="96">
        <v>201.7630587438278</v>
      </c>
      <c r="G107" s="96" t="s">
        <v>385</v>
      </c>
      <c r="H107" s="96">
        <v>69.26906118298399</v>
      </c>
      <c r="I107" s="96">
        <v>299.45648499749763</v>
      </c>
      <c r="J107" s="96">
        <v>88.409789777718615</v>
      </c>
      <c r="K107" s="96">
        <v>0.34228705072063714</v>
      </c>
      <c r="L107" s="96">
        <v>26.656177318968822</v>
      </c>
      <c r="M107" s="96">
        <v>24.284685003826159</v>
      </c>
      <c r="N107" s="96">
        <v>284.54936012221185</v>
      </c>
      <c r="O107" s="96">
        <v>44.066815475555892</v>
      </c>
      <c r="P107" s="96">
        <v>48.132670765750412</v>
      </c>
      <c r="Q107" s="96">
        <v>30.636256273038978</v>
      </c>
      <c r="R107" s="96">
        <v>99.982191935276362</v>
      </c>
      <c r="S107" s="96">
        <v>122.67242481001824</v>
      </c>
      <c r="T107" s="96">
        <v>122.77417585609224</v>
      </c>
      <c r="U107" s="96">
        <v>94.57586955332971</v>
      </c>
      <c r="V107" s="96">
        <v>80.980478187548243</v>
      </c>
      <c r="W107" s="96">
        <v>47.661444990418779</v>
      </c>
    </row>
    <row r="108" spans="1:23">
      <c r="A108" s="95" t="s">
        <v>385</v>
      </c>
      <c r="B108" s="95">
        <v>263.58771946607044</v>
      </c>
      <c r="C108" s="95" t="s">
        <v>385</v>
      </c>
      <c r="D108" s="95">
        <v>44.895753172600898</v>
      </c>
      <c r="E108" s="96" t="s">
        <v>385</v>
      </c>
      <c r="F108" s="96">
        <v>216.19921649403983</v>
      </c>
      <c r="G108" s="96" t="s">
        <v>385</v>
      </c>
      <c r="H108" s="96">
        <v>93.186003558793431</v>
      </c>
      <c r="I108" s="96">
        <v>299.20350743383523</v>
      </c>
      <c r="J108" s="96">
        <v>88.166850268025712</v>
      </c>
      <c r="K108" s="96">
        <v>0.51970251557459568</v>
      </c>
      <c r="L108" s="96">
        <v>27.911454545562293</v>
      </c>
      <c r="M108" s="96">
        <v>24.578633704431077</v>
      </c>
      <c r="N108" s="96">
        <v>271.45238963109034</v>
      </c>
      <c r="O108" s="96">
        <v>36.089326405065243</v>
      </c>
      <c r="P108" s="96">
        <v>53.187024034377473</v>
      </c>
      <c r="Q108" s="96">
        <v>28.92080331792765</v>
      </c>
      <c r="R108" s="96">
        <v>101.76299440606284</v>
      </c>
      <c r="S108" s="96">
        <v>124.55280027658345</v>
      </c>
      <c r="T108" s="96">
        <v>132.03601489279509</v>
      </c>
      <c r="U108" s="96">
        <v>99.267758551077478</v>
      </c>
      <c r="V108" s="96">
        <v>78.191852347528595</v>
      </c>
      <c r="W108" s="96">
        <v>50.984194013936651</v>
      </c>
    </row>
    <row r="109" spans="1:23">
      <c r="A109" s="95" t="s">
        <v>385</v>
      </c>
      <c r="B109" s="95">
        <v>252.01952343362834</v>
      </c>
      <c r="C109" s="95" t="s">
        <v>385</v>
      </c>
      <c r="D109" s="95">
        <v>59.249130021860474</v>
      </c>
      <c r="E109" s="96" t="s">
        <v>385</v>
      </c>
      <c r="F109" s="96">
        <v>212.42119701552636</v>
      </c>
      <c r="G109" s="96" t="s">
        <v>385</v>
      </c>
      <c r="H109" s="96">
        <v>99.155425062805605</v>
      </c>
      <c r="I109" s="96">
        <v>300.47303782408829</v>
      </c>
      <c r="J109" s="96">
        <v>99.193872182930264</v>
      </c>
      <c r="K109" s="96">
        <v>0.51382289681632531</v>
      </c>
      <c r="L109" s="96">
        <v>18.448585635002232</v>
      </c>
      <c r="M109" s="96">
        <v>24.734538493430314</v>
      </c>
      <c r="N109" s="96">
        <v>279.80583107172652</v>
      </c>
      <c r="O109" s="96">
        <v>37.241237366102141</v>
      </c>
      <c r="P109" s="96">
        <v>53.533264179062719</v>
      </c>
      <c r="Q109" s="96">
        <v>30.416453972471341</v>
      </c>
      <c r="R109" s="96">
        <v>102.45673392613257</v>
      </c>
      <c r="S109" s="96">
        <v>119.79760269005791</v>
      </c>
      <c r="T109" s="96">
        <v>129.96418353342398</v>
      </c>
      <c r="U109" s="96">
        <v>96.862910429306027</v>
      </c>
      <c r="V109" s="96">
        <v>80.366962790733183</v>
      </c>
      <c r="W109" s="96">
        <v>49.419798662142746</v>
      </c>
    </row>
    <row r="110" spans="1:23">
      <c r="A110" s="95" t="s">
        <v>385</v>
      </c>
      <c r="B110" s="95">
        <v>294.79372316345643</v>
      </c>
      <c r="C110" s="95" t="s">
        <v>385</v>
      </c>
      <c r="D110" s="95">
        <v>52.293691857181059</v>
      </c>
      <c r="E110" s="96" t="s">
        <v>385</v>
      </c>
      <c r="F110" s="96">
        <v>205.67308068181632</v>
      </c>
      <c r="G110" s="96" t="s">
        <v>385</v>
      </c>
      <c r="H110" s="96">
        <v>99.517402779738163</v>
      </c>
      <c r="I110" s="96">
        <v>299.89525175769688</v>
      </c>
      <c r="J110" s="96">
        <v>114.5695793242942</v>
      </c>
      <c r="K110" s="96">
        <v>0.6135862264302</v>
      </c>
      <c r="L110" s="96">
        <v>14.276354828053043</v>
      </c>
      <c r="M110" s="96">
        <v>24.537060371511291</v>
      </c>
      <c r="N110" s="96">
        <v>284.31450408889492</v>
      </c>
      <c r="O110" s="96">
        <v>49.764676565083171</v>
      </c>
      <c r="P110" s="96">
        <v>50.019205536971853</v>
      </c>
      <c r="Q110" s="96">
        <v>29.313267704136546</v>
      </c>
      <c r="R110" s="96">
        <v>101.71014213121657</v>
      </c>
      <c r="S110" s="96">
        <v>117.91767390218811</v>
      </c>
      <c r="T110" s="96">
        <v>125.7060536508678</v>
      </c>
      <c r="U110" s="96">
        <v>97.947903473934772</v>
      </c>
      <c r="V110" s="96">
        <v>78.611300573604254</v>
      </c>
      <c r="W110" s="96">
        <v>49.906219234802734</v>
      </c>
    </row>
    <row r="111" spans="1:23">
      <c r="A111" s="95" t="s">
        <v>385</v>
      </c>
      <c r="B111" s="95">
        <v>327.38858720161221</v>
      </c>
      <c r="C111" s="95" t="s">
        <v>385</v>
      </c>
      <c r="D111" s="95">
        <v>55.745484741137304</v>
      </c>
      <c r="E111" s="96" t="s">
        <v>386</v>
      </c>
      <c r="F111" s="96">
        <v>226.32917962632681</v>
      </c>
      <c r="G111" s="96" t="s">
        <v>385</v>
      </c>
      <c r="H111" s="96">
        <v>59.50730424301409</v>
      </c>
      <c r="I111" s="96">
        <v>298.73390838706177</v>
      </c>
      <c r="J111" s="96">
        <v>88.403391530543772</v>
      </c>
      <c r="K111" s="96">
        <v>0.64613952125723295</v>
      </c>
      <c r="L111" s="96">
        <v>25.07043639362449</v>
      </c>
      <c r="M111" s="96">
        <v>27.377105762713931</v>
      </c>
      <c r="N111" s="96">
        <v>284.32416634960407</v>
      </c>
      <c r="O111" s="96">
        <v>44.328912200141041</v>
      </c>
      <c r="P111" s="96">
        <v>53.045919183141116</v>
      </c>
      <c r="Q111" s="96">
        <v>29.716935744300898</v>
      </c>
      <c r="R111" s="96">
        <v>102.32313592578939</v>
      </c>
      <c r="S111" s="96">
        <v>125.03238448036782</v>
      </c>
      <c r="T111" s="96">
        <v>123.1568088125448</v>
      </c>
      <c r="U111" s="96">
        <v>105.50472016958908</v>
      </c>
      <c r="V111" s="96">
        <v>79.822507151764029</v>
      </c>
      <c r="W111" s="96">
        <v>53.998001617037744</v>
      </c>
    </row>
    <row r="112" spans="1:23">
      <c r="A112" s="95" t="s">
        <v>385</v>
      </c>
      <c r="B112" s="95">
        <v>283.44162336277054</v>
      </c>
      <c r="C112" s="95" t="s">
        <v>385</v>
      </c>
      <c r="D112" s="95">
        <v>43.366785041132871</v>
      </c>
      <c r="E112" s="96" t="s">
        <v>386</v>
      </c>
      <c r="F112" s="96">
        <v>225.18449901411086</v>
      </c>
      <c r="G112" s="96" t="s">
        <v>385</v>
      </c>
      <c r="H112" s="96">
        <v>84.904668578193451</v>
      </c>
      <c r="I112" s="96">
        <v>300.45890764562955</v>
      </c>
      <c r="J112" s="96">
        <v>92.209907456209933</v>
      </c>
      <c r="K112" s="96">
        <v>0.49980129141045954</v>
      </c>
      <c r="L112" s="96">
        <v>19.791153010522372</v>
      </c>
      <c r="M112" s="96">
        <v>27.474967582758811</v>
      </c>
      <c r="N112" s="96">
        <v>280.89205084659778</v>
      </c>
      <c r="O112" s="96">
        <v>39.740577216296373</v>
      </c>
      <c r="P112" s="96">
        <v>47.74037010777338</v>
      </c>
      <c r="Q112" s="96">
        <v>29.960877617480048</v>
      </c>
      <c r="R112" s="96">
        <v>101.10798467986929</v>
      </c>
      <c r="S112" s="96">
        <v>118.6200542540345</v>
      </c>
      <c r="T112" s="96">
        <v>129.59648131428131</v>
      </c>
      <c r="U112" s="96">
        <v>103.61069629187536</v>
      </c>
      <c r="V112" s="96">
        <v>77.564778691442356</v>
      </c>
      <c r="W112" s="96">
        <v>51.463934189735824</v>
      </c>
    </row>
    <row r="113" spans="1:23">
      <c r="A113" s="95" t="s">
        <v>385</v>
      </c>
      <c r="B113" s="95">
        <v>311.60392874677905</v>
      </c>
      <c r="C113" s="95" t="s">
        <v>385</v>
      </c>
      <c r="D113" s="95">
        <v>57.874690874537976</v>
      </c>
      <c r="E113" s="96" t="s">
        <v>385</v>
      </c>
      <c r="F113" s="96">
        <v>215.40309898905622</v>
      </c>
      <c r="G113" s="96" t="s">
        <v>385</v>
      </c>
      <c r="H113" s="96">
        <v>70.725252881255614</v>
      </c>
      <c r="I113" s="96">
        <v>301.1370974081629</v>
      </c>
      <c r="J113" s="96">
        <v>102.7273336379598</v>
      </c>
      <c r="K113" s="96">
        <v>0.42565289716892651</v>
      </c>
      <c r="L113" s="96">
        <v>22.909445798732595</v>
      </c>
      <c r="M113" s="96">
        <v>25.81004200154819</v>
      </c>
      <c r="N113" s="96">
        <v>278.9701396293251</v>
      </c>
      <c r="O113" s="96">
        <v>47.462694100835954</v>
      </c>
      <c r="P113" s="96">
        <v>48.979462234868159</v>
      </c>
      <c r="Q113" s="96">
        <v>31.325783581874045</v>
      </c>
      <c r="R113" s="96">
        <v>97.004705104571826</v>
      </c>
      <c r="S113" s="96">
        <v>120.4495835321509</v>
      </c>
      <c r="T113" s="96">
        <v>127.93131690672334</v>
      </c>
      <c r="U113" s="96">
        <v>90.55606867204969</v>
      </c>
      <c r="V113" s="96">
        <v>78.344166220945283</v>
      </c>
      <c r="W113" s="96">
        <v>48.573719486778764</v>
      </c>
    </row>
    <row r="114" spans="1:23">
      <c r="A114" s="95" t="s">
        <v>385</v>
      </c>
      <c r="B114" s="95">
        <v>260.53809052302677</v>
      </c>
      <c r="C114" s="95" t="s">
        <v>385</v>
      </c>
      <c r="D114" s="95">
        <v>47.173322412112007</v>
      </c>
      <c r="E114" s="96" t="s">
        <v>385</v>
      </c>
      <c r="F114" s="96">
        <v>219.58311793691394</v>
      </c>
      <c r="G114" s="96" t="s">
        <v>385</v>
      </c>
      <c r="H114" s="96">
        <v>94.389508823649862</v>
      </c>
      <c r="I114" s="96">
        <v>299.84241493994017</v>
      </c>
      <c r="J114" s="96">
        <v>93.69521923625399</v>
      </c>
      <c r="K114" s="96">
        <v>0.38315943703039601</v>
      </c>
      <c r="L114" s="96">
        <v>30.284172140485843</v>
      </c>
      <c r="M114" s="96">
        <v>26.622033946767544</v>
      </c>
      <c r="N114" s="96">
        <v>282.21876803550549</v>
      </c>
      <c r="O114" s="96">
        <v>37.562543601402886</v>
      </c>
      <c r="P114" s="96">
        <v>49.444089149716149</v>
      </c>
      <c r="Q114" s="96">
        <v>28.505209085570684</v>
      </c>
      <c r="R114" s="96">
        <v>97.837176284595927</v>
      </c>
      <c r="S114" s="96">
        <v>124.25650847679614</v>
      </c>
      <c r="T114" s="96">
        <v>132.69244888022908</v>
      </c>
      <c r="U114" s="96">
        <v>101.23034312807349</v>
      </c>
      <c r="V114" s="96">
        <v>80.486485860612433</v>
      </c>
      <c r="W114" s="96">
        <v>52.214518735030254</v>
      </c>
    </row>
    <row r="115" spans="1:23">
      <c r="A115" s="95" t="s">
        <v>385</v>
      </c>
      <c r="B115" s="95">
        <v>270.44662238179387</v>
      </c>
      <c r="C115" s="95" t="s">
        <v>385</v>
      </c>
      <c r="D115" s="95">
        <v>59.942130150784038</v>
      </c>
      <c r="E115" s="96" t="s">
        <v>385</v>
      </c>
      <c r="F115" s="96">
        <v>224.848510175668</v>
      </c>
      <c r="G115" s="96" t="s">
        <v>385</v>
      </c>
      <c r="H115" s="96">
        <v>77.380116811952064</v>
      </c>
      <c r="I115" s="96">
        <v>300.46504847014205</v>
      </c>
      <c r="J115" s="96">
        <v>98.056734346660306</v>
      </c>
      <c r="K115" s="96">
        <v>0.47524907848690828</v>
      </c>
      <c r="L115" s="96">
        <v>23.088507019390935</v>
      </c>
      <c r="M115" s="96">
        <v>27.476829622105939</v>
      </c>
      <c r="N115" s="96">
        <v>281.33269900357618</v>
      </c>
      <c r="O115" s="96">
        <v>35.1567807043077</v>
      </c>
      <c r="P115" s="96">
        <v>49.27095831581849</v>
      </c>
      <c r="Q115" s="96">
        <v>32.900296743597245</v>
      </c>
      <c r="R115" s="96">
        <v>101.09868059147611</v>
      </c>
      <c r="S115" s="96">
        <v>122.70218094141855</v>
      </c>
      <c r="T115" s="96">
        <v>131.39503625247772</v>
      </c>
      <c r="U115" s="96">
        <v>108.03494561330682</v>
      </c>
      <c r="V115" s="96">
        <v>80.931868531769126</v>
      </c>
      <c r="W115" s="96">
        <v>50.932536214266591</v>
      </c>
    </row>
    <row r="116" spans="1:23">
      <c r="A116" s="95" t="s">
        <v>385</v>
      </c>
      <c r="B116" s="95">
        <v>267.25748874394566</v>
      </c>
      <c r="C116" s="95" t="s">
        <v>385</v>
      </c>
      <c r="D116" s="95">
        <v>52.670991469970836</v>
      </c>
      <c r="E116" s="96" t="s">
        <v>385</v>
      </c>
      <c r="F116" s="96">
        <v>224.87736079384075</v>
      </c>
      <c r="G116" s="96" t="s">
        <v>385</v>
      </c>
      <c r="H116" s="96">
        <v>104.86374829980689</v>
      </c>
      <c r="I116" s="96">
        <v>300.86577314010276</v>
      </c>
      <c r="J116" s="96">
        <v>103.36154483919444</v>
      </c>
      <c r="K116" s="96">
        <v>0.58334320573276777</v>
      </c>
      <c r="L116" s="96">
        <v>26.165014658943338</v>
      </c>
      <c r="M116" s="96">
        <v>27.53566420095763</v>
      </c>
      <c r="N116" s="96">
        <v>285.20602722523995</v>
      </c>
      <c r="O116" s="96">
        <v>39.593413606198581</v>
      </c>
      <c r="P116" s="96">
        <v>50.951730489059088</v>
      </c>
      <c r="Q116" s="96">
        <v>29.753167522918982</v>
      </c>
      <c r="R116" s="96">
        <v>101.16177480388262</v>
      </c>
      <c r="S116" s="96">
        <v>120.93822437135005</v>
      </c>
      <c r="T116" s="96">
        <v>133.58731926094373</v>
      </c>
      <c r="U116" s="96">
        <v>100.85460545502733</v>
      </c>
      <c r="V116" s="96">
        <v>81.95854964115675</v>
      </c>
      <c r="W116" s="96">
        <v>50.286190867644834</v>
      </c>
    </row>
    <row r="117" spans="1:23">
      <c r="A117" s="95" t="s">
        <v>385</v>
      </c>
      <c r="B117" s="95">
        <v>269.87196047494098</v>
      </c>
      <c r="C117" s="95" t="s">
        <v>385</v>
      </c>
      <c r="D117" s="95">
        <v>54.536256868340303</v>
      </c>
      <c r="E117" s="96" t="s">
        <v>385</v>
      </c>
      <c r="F117" s="96">
        <v>216.230609716608</v>
      </c>
      <c r="G117" s="96" t="s">
        <v>385</v>
      </c>
      <c r="H117" s="96">
        <v>103.6222484181213</v>
      </c>
      <c r="I117" s="96">
        <v>298.76970521604551</v>
      </c>
      <c r="J117" s="96">
        <v>83.52184917418829</v>
      </c>
      <c r="K117" s="96">
        <v>0.57310199768012471</v>
      </c>
      <c r="L117" s="96">
        <v>20.779194762077488</v>
      </c>
      <c r="M117" s="96">
        <v>26.443887375528789</v>
      </c>
      <c r="N117" s="96">
        <v>286.78324331796779</v>
      </c>
      <c r="O117" s="96">
        <v>39.329865524333037</v>
      </c>
      <c r="P117" s="96">
        <v>52.055262411891739</v>
      </c>
      <c r="Q117" s="96">
        <v>29.118321707672258</v>
      </c>
      <c r="R117" s="96">
        <v>98.993360910198334</v>
      </c>
      <c r="S117" s="96">
        <v>125.60798589381935</v>
      </c>
      <c r="T117" s="96">
        <v>129.51189184538001</v>
      </c>
      <c r="U117" s="96">
        <v>97.856618020368771</v>
      </c>
      <c r="V117" s="96">
        <v>77.832194659137585</v>
      </c>
      <c r="W117" s="96">
        <v>49.134742358406882</v>
      </c>
    </row>
    <row r="118" spans="1:23">
      <c r="A118" s="95" t="s">
        <v>385</v>
      </c>
      <c r="B118" s="95">
        <v>242.78994633527458</v>
      </c>
      <c r="C118" s="95" t="s">
        <v>385</v>
      </c>
      <c r="D118" s="95">
        <v>60.197161717796462</v>
      </c>
      <c r="E118" s="96" t="s">
        <v>385</v>
      </c>
      <c r="F118" s="96">
        <v>216.11896836143671</v>
      </c>
      <c r="G118" s="96" t="s">
        <v>385</v>
      </c>
      <c r="H118" s="96">
        <v>98.69019792285026</v>
      </c>
      <c r="I118" s="96">
        <v>301.2821082595604</v>
      </c>
      <c r="J118" s="96">
        <v>88.444234469835095</v>
      </c>
      <c r="K118" s="96">
        <v>0.45153792583328356</v>
      </c>
      <c r="L118" s="96">
        <v>26.020921539421217</v>
      </c>
      <c r="M118" s="96">
        <v>25.958006853283766</v>
      </c>
      <c r="N118" s="96">
        <v>284.26206957669723</v>
      </c>
      <c r="O118" s="96">
        <v>31.804043103012177</v>
      </c>
      <c r="P118" s="96">
        <v>51.753282884000626</v>
      </c>
      <c r="Q118" s="96">
        <v>28.911049481089872</v>
      </c>
      <c r="R118" s="96">
        <v>96.607649965783523</v>
      </c>
      <c r="S118" s="96">
        <v>123.81040761145296</v>
      </c>
      <c r="T118" s="96">
        <v>132.63462634734665</v>
      </c>
      <c r="U118" s="96">
        <v>100.19695008411418</v>
      </c>
      <c r="V118" s="96">
        <v>80.7371251650858</v>
      </c>
      <c r="W118" s="96">
        <v>53.468190634341312</v>
      </c>
    </row>
    <row r="119" spans="1:23">
      <c r="A119" s="95" t="s">
        <v>385</v>
      </c>
      <c r="B119" s="95">
        <v>318.19460056910168</v>
      </c>
      <c r="C119" s="95" t="s">
        <v>385</v>
      </c>
      <c r="D119" s="95">
        <v>54.064944332072933</v>
      </c>
      <c r="E119" s="96" t="s">
        <v>386</v>
      </c>
      <c r="F119" s="96">
        <v>241.41274549463824</v>
      </c>
      <c r="G119" s="96" t="s">
        <v>385</v>
      </c>
      <c r="H119" s="96">
        <v>107.07824725959317</v>
      </c>
      <c r="I119" s="96">
        <v>299.70537309540401</v>
      </c>
      <c r="J119" s="96">
        <v>94.90148373871682</v>
      </c>
      <c r="K119" s="96">
        <v>0.46393049414587167</v>
      </c>
      <c r="L119" s="96">
        <v>19.881125623458804</v>
      </c>
      <c r="M119" s="96">
        <v>28.941698463010411</v>
      </c>
      <c r="N119" s="96">
        <v>271.00143091380505</v>
      </c>
      <c r="O119" s="96">
        <v>42.084381091076217</v>
      </c>
      <c r="P119" s="96">
        <v>49.187444826445578</v>
      </c>
      <c r="Q119" s="96">
        <v>30.325802294084081</v>
      </c>
      <c r="R119" s="96">
        <v>99.895487753427389</v>
      </c>
      <c r="S119" s="96">
        <v>119.07660738727002</v>
      </c>
      <c r="T119" s="96">
        <v>132.23830271179094</v>
      </c>
      <c r="U119" s="96">
        <v>97.456642718404211</v>
      </c>
      <c r="V119" s="96">
        <v>80.406516592414889</v>
      </c>
      <c r="W119" s="96">
        <v>50.799874477800557</v>
      </c>
    </row>
    <row r="120" spans="1:23">
      <c r="A120" s="95" t="s">
        <v>385</v>
      </c>
      <c r="B120" s="95">
        <v>255.31186800613852</v>
      </c>
      <c r="C120" s="95" t="s">
        <v>385</v>
      </c>
      <c r="D120" s="95">
        <v>56.25174570709445</v>
      </c>
      <c r="E120" s="96" t="s">
        <v>385</v>
      </c>
      <c r="F120" s="96">
        <v>221.1928903768125</v>
      </c>
      <c r="G120" s="96" t="s">
        <v>385</v>
      </c>
      <c r="H120" s="96">
        <v>94.757685641878282</v>
      </c>
      <c r="I120" s="96">
        <v>299.82450380763834</v>
      </c>
      <c r="J120" s="96">
        <v>92.229738373234028</v>
      </c>
      <c r="K120" s="96">
        <v>0.4898793219700413</v>
      </c>
      <c r="L120" s="96">
        <v>22.947180458079149</v>
      </c>
      <c r="M120" s="96">
        <v>26.675538605669022</v>
      </c>
      <c r="N120" s="96">
        <v>285.72649471867976</v>
      </c>
      <c r="O120" s="96">
        <v>36.623556437430693</v>
      </c>
      <c r="P120" s="96">
        <v>53.061790125927892</v>
      </c>
      <c r="Q120" s="96">
        <v>28.881714323533075</v>
      </c>
      <c r="R120" s="96">
        <v>101.38184096642354</v>
      </c>
      <c r="S120" s="96">
        <v>116.82046239073388</v>
      </c>
      <c r="T120" s="96">
        <v>130.56070220586383</v>
      </c>
      <c r="U120" s="96">
        <v>94.614355162839615</v>
      </c>
      <c r="V120" s="96">
        <v>81.306263048045921</v>
      </c>
      <c r="W120" s="96">
        <v>48.982546406539996</v>
      </c>
    </row>
    <row r="121" spans="1:23">
      <c r="A121" s="95" t="s">
        <v>385</v>
      </c>
      <c r="B121" s="95">
        <v>234.84297640358895</v>
      </c>
      <c r="C121" s="95" t="s">
        <v>385</v>
      </c>
      <c r="D121" s="95">
        <v>48.301177112050439</v>
      </c>
      <c r="E121" s="96" t="s">
        <v>385</v>
      </c>
      <c r="F121" s="96">
        <v>212.64154515941772</v>
      </c>
      <c r="G121" s="96" t="s">
        <v>385</v>
      </c>
      <c r="H121" s="96">
        <v>86.284688656672586</v>
      </c>
      <c r="I121" s="96">
        <v>299.98285832641426</v>
      </c>
      <c r="J121" s="96">
        <v>97.01569358173559</v>
      </c>
      <c r="K121" s="96">
        <v>0.41116311428456298</v>
      </c>
      <c r="L121" s="96">
        <v>22.669953914815345</v>
      </c>
      <c r="M121" s="96">
        <v>26.10872072065639</v>
      </c>
      <c r="N121" s="96">
        <v>286.14772675005179</v>
      </c>
      <c r="O121" s="96">
        <v>36.145220008110122</v>
      </c>
      <c r="P121" s="96">
        <v>48.857836854688927</v>
      </c>
      <c r="Q121" s="96">
        <v>31.887505701103159</v>
      </c>
      <c r="R121" s="96">
        <v>101.32174327900891</v>
      </c>
      <c r="S121" s="96">
        <v>119.46112994367355</v>
      </c>
      <c r="T121" s="96">
        <v>133.59136700321503</v>
      </c>
      <c r="U121" s="96">
        <v>96.349635482600576</v>
      </c>
      <c r="V121" s="96">
        <v>80.584348616688189</v>
      </c>
      <c r="W121" s="96">
        <v>52.454608789039327</v>
      </c>
    </row>
    <row r="122" spans="1:23">
      <c r="A122" s="95" t="s">
        <v>385</v>
      </c>
      <c r="B122" s="95">
        <v>262.42630213430942</v>
      </c>
      <c r="C122" s="95" t="s">
        <v>385</v>
      </c>
      <c r="D122" s="95">
        <v>42.360077300521773</v>
      </c>
      <c r="E122" s="96" t="s">
        <v>386</v>
      </c>
      <c r="F122" s="96">
        <v>231.67043109396818</v>
      </c>
      <c r="G122" s="96" t="s">
        <v>385</v>
      </c>
      <c r="H122" s="96">
        <v>96.393745665701573</v>
      </c>
      <c r="I122" s="96">
        <v>300.43185492062094</v>
      </c>
      <c r="J122" s="96">
        <v>98.864573947033961</v>
      </c>
      <c r="K122" s="96">
        <v>0.42967403745265498</v>
      </c>
      <c r="L122" s="96">
        <v>19.997340355714989</v>
      </c>
      <c r="M122" s="96">
        <v>27.652400481898461</v>
      </c>
      <c r="N122" s="96">
        <v>274.4241052822174</v>
      </c>
      <c r="O122" s="96">
        <v>37.25670596772661</v>
      </c>
      <c r="P122" s="96">
        <v>50.268570839972782</v>
      </c>
      <c r="Q122" s="96">
        <v>29.221264868120471</v>
      </c>
      <c r="R122" s="96">
        <v>97.720439783108475</v>
      </c>
      <c r="S122" s="96">
        <v>122.65854310379588</v>
      </c>
      <c r="T122" s="96">
        <v>134.35824302540234</v>
      </c>
      <c r="U122" s="96">
        <v>104.05539579804457</v>
      </c>
      <c r="V122" s="96">
        <v>75.922225229202965</v>
      </c>
      <c r="W122" s="96">
        <v>47.683748789197338</v>
      </c>
    </row>
    <row r="123" spans="1:23">
      <c r="A123" s="95" t="s">
        <v>385</v>
      </c>
      <c r="B123" s="95">
        <v>288.10259605812865</v>
      </c>
      <c r="C123" s="95" t="s">
        <v>385</v>
      </c>
      <c r="D123" s="95">
        <v>50.362473384854965</v>
      </c>
      <c r="E123" s="96" t="s">
        <v>385</v>
      </c>
      <c r="F123" s="96">
        <v>217.01146042662361</v>
      </c>
      <c r="G123" s="96" t="s">
        <v>385</v>
      </c>
      <c r="H123" s="96">
        <v>85.065554223047826</v>
      </c>
      <c r="I123" s="96">
        <v>299.12778878219484</v>
      </c>
      <c r="J123" s="96">
        <v>95.930254657652711</v>
      </c>
      <c r="K123" s="96">
        <v>0.52954875702775539</v>
      </c>
      <c r="L123" s="96">
        <v>20.514077868523373</v>
      </c>
      <c r="M123" s="96">
        <v>26.011572295931899</v>
      </c>
      <c r="N123" s="96">
        <v>276.47617426301929</v>
      </c>
      <c r="O123" s="96">
        <v>41.482511618980752</v>
      </c>
      <c r="P123" s="96">
        <v>47.82872464035087</v>
      </c>
      <c r="Q123" s="96">
        <v>28.93250651614094</v>
      </c>
      <c r="R123" s="96">
        <v>102.49730541864467</v>
      </c>
      <c r="S123" s="96">
        <v>118.53835680050379</v>
      </c>
      <c r="T123" s="96">
        <v>130.80439556297802</v>
      </c>
      <c r="U123" s="96">
        <v>102.68370460642977</v>
      </c>
      <c r="V123" s="96">
        <v>78.947100502880588</v>
      </c>
      <c r="W123" s="96">
        <v>50.045448589342541</v>
      </c>
    </row>
    <row r="124" spans="1:23">
      <c r="A124" s="95" t="s">
        <v>385</v>
      </c>
      <c r="B124" s="95">
        <v>272.56972463589847</v>
      </c>
      <c r="C124" s="95" t="s">
        <v>385</v>
      </c>
      <c r="D124" s="95">
        <v>61.450104474102567</v>
      </c>
      <c r="E124" s="96" t="s">
        <v>385</v>
      </c>
      <c r="F124" s="96">
        <v>213.32287492519166</v>
      </c>
      <c r="G124" s="96" t="s">
        <v>385</v>
      </c>
      <c r="H124" s="96">
        <v>91.485278804137607</v>
      </c>
      <c r="I124" s="96">
        <v>299.42422389041042</v>
      </c>
      <c r="J124" s="96">
        <v>88.087217313481702</v>
      </c>
      <c r="K124" s="96">
        <v>0.62665282659285693</v>
      </c>
      <c r="L124" s="96">
        <v>24.537941706937911</v>
      </c>
      <c r="M124" s="96">
        <v>26.437093438665944</v>
      </c>
      <c r="N124" s="96">
        <v>288.43904593015969</v>
      </c>
      <c r="O124" s="96">
        <v>39.619553281745567</v>
      </c>
      <c r="P124" s="96">
        <v>47.871412773161289</v>
      </c>
      <c r="Q124" s="96">
        <v>29.478111905577883</v>
      </c>
      <c r="R124" s="96">
        <v>98.173578701768108</v>
      </c>
      <c r="S124" s="96">
        <v>118.08531998943286</v>
      </c>
      <c r="T124" s="96">
        <v>130.07351006192255</v>
      </c>
      <c r="U124" s="96">
        <v>109.20382336060722</v>
      </c>
      <c r="V124" s="96">
        <v>82.280871221705667</v>
      </c>
      <c r="W124" s="96">
        <v>49.820127134653518</v>
      </c>
    </row>
    <row r="125" spans="1:23">
      <c r="A125" s="95" t="s">
        <v>385</v>
      </c>
      <c r="B125" s="95">
        <v>269.87410996124265</v>
      </c>
      <c r="C125" s="95" t="s">
        <v>385</v>
      </c>
      <c r="D125" s="95">
        <v>58.699819063583533</v>
      </c>
      <c r="E125" s="96" t="s">
        <v>385</v>
      </c>
      <c r="F125" s="96">
        <v>222.73328701585251</v>
      </c>
      <c r="G125" s="96" t="s">
        <v>385</v>
      </c>
      <c r="H125" s="96">
        <v>85.906102889052093</v>
      </c>
      <c r="I125" s="96">
        <v>301.19966497052803</v>
      </c>
      <c r="J125" s="96">
        <v>97.202755216794202</v>
      </c>
      <c r="K125" s="96">
        <v>0.4266778340272136</v>
      </c>
      <c r="L125" s="96">
        <v>26.063939597996647</v>
      </c>
      <c r="M125" s="96">
        <v>26.470275764426024</v>
      </c>
      <c r="N125" s="96">
        <v>275.0260750716734</v>
      </c>
      <c r="O125" s="96">
        <v>40.19777141407193</v>
      </c>
      <c r="P125" s="96">
        <v>49.424950570713882</v>
      </c>
      <c r="Q125" s="96">
        <v>30.831462923778066</v>
      </c>
      <c r="R125" s="96">
        <v>99.996010960026169</v>
      </c>
      <c r="S125" s="96">
        <v>118.84725703492268</v>
      </c>
      <c r="T125" s="96">
        <v>126.6911862667248</v>
      </c>
      <c r="U125" s="96">
        <v>101.72794710073148</v>
      </c>
      <c r="V125" s="96">
        <v>82.872845235130995</v>
      </c>
      <c r="W125" s="96">
        <v>51.765493450060518</v>
      </c>
    </row>
    <row r="126" spans="1:23">
      <c r="A126" s="95" t="s">
        <v>385</v>
      </c>
      <c r="B126" s="95">
        <v>267.21887168519464</v>
      </c>
      <c r="C126" s="95" t="s">
        <v>385</v>
      </c>
      <c r="D126" s="95">
        <v>53.680282093939496</v>
      </c>
      <c r="E126" s="96" t="s">
        <v>385</v>
      </c>
      <c r="F126" s="96">
        <v>212.09129032395072</v>
      </c>
      <c r="G126" s="96" t="s">
        <v>385</v>
      </c>
      <c r="H126" s="96">
        <v>85.789524279698313</v>
      </c>
      <c r="I126" s="96">
        <v>300.14076130640922</v>
      </c>
      <c r="J126" s="96">
        <v>103.46962425919062</v>
      </c>
      <c r="K126" s="96">
        <v>0.52040818759192131</v>
      </c>
      <c r="L126" s="96">
        <v>23.844799156242917</v>
      </c>
      <c r="M126" s="96">
        <v>25.280412795143558</v>
      </c>
      <c r="N126" s="96">
        <v>281.62006975328478</v>
      </c>
      <c r="O126" s="96">
        <v>41.419050061277332</v>
      </c>
      <c r="P126" s="96">
        <v>48.665198850280603</v>
      </c>
      <c r="Q126" s="96">
        <v>28.269074075236251</v>
      </c>
      <c r="R126" s="96">
        <v>102.2244076779528</v>
      </c>
      <c r="S126" s="96">
        <v>121.41986072470777</v>
      </c>
      <c r="T126" s="96">
        <v>132.65235140094288</v>
      </c>
      <c r="U126" s="96">
        <v>101.38610958883382</v>
      </c>
      <c r="V126" s="96">
        <v>82.082999245338684</v>
      </c>
      <c r="W126" s="96">
        <v>49.145614955670979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2026-03-24T01:11:54Z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2026-02-26T02:26:39Z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16cf28eb-56cf-46cb-a312-1b7495bc7b56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